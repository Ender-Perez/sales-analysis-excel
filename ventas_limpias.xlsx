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der\Desktop\"/>
    </mc:Choice>
  </mc:AlternateContent>
  <xr:revisionPtr revIDLastSave="0" documentId="13_ncr:1_{FA8A91DC-B937-4FEC-9E02-026A8CCE0A8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KPIs" sheetId="2" r:id="rId2"/>
    <sheet name="Tabla_dinamica" sheetId="4" r:id="rId3"/>
    <sheet name="Gráfricos" sheetId="7" r:id="rId4"/>
  </sheets>
  <definedNames>
    <definedName name="_xlnm._FilterDatabase" localSheetId="0" hidden="1">Sheet1!$A$1:$K$398</definedName>
  </definedNames>
  <calcPr calcId="191029"/>
  <pivotCaches>
    <pivotCache cacheId="6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" i="1"/>
  <c r="I2" i="1"/>
  <c r="A2" i="2" s="1"/>
  <c r="C2" i="2" s="1"/>
</calcChain>
</file>

<file path=xl/sharedStrings.xml><?xml version="1.0" encoding="utf-8"?>
<sst xmlns="http://schemas.openxmlformats.org/spreadsheetml/2006/main" count="1239" uniqueCount="46">
  <si>
    <t>Tablet</t>
  </si>
  <si>
    <t>Router</t>
  </si>
  <si>
    <t>Mouse</t>
  </si>
  <si>
    <t>Notebook</t>
  </si>
  <si>
    <t>Monitor</t>
  </si>
  <si>
    <t>Teclado</t>
  </si>
  <si>
    <t>Auriculares</t>
  </si>
  <si>
    <t>Impresora</t>
  </si>
  <si>
    <t>Electronica</t>
  </si>
  <si>
    <t>Oficina</t>
  </si>
  <si>
    <t>GBA</t>
  </si>
  <si>
    <t>CABA</t>
  </si>
  <si>
    <t>Interior</t>
  </si>
  <si>
    <t>Unidades_totales</t>
  </si>
  <si>
    <t>Venta_total</t>
  </si>
  <si>
    <t>Id_venta</t>
  </si>
  <si>
    <t>Fecha</t>
  </si>
  <si>
    <t>Producto</t>
  </si>
  <si>
    <t>Categoria</t>
  </si>
  <si>
    <t>Unidades</t>
  </si>
  <si>
    <t>Precio_unitario</t>
  </si>
  <si>
    <t>Cliente</t>
  </si>
  <si>
    <t>Region</t>
  </si>
  <si>
    <t>Ventas_totales</t>
  </si>
  <si>
    <t>Mes</t>
  </si>
  <si>
    <t>Año</t>
  </si>
  <si>
    <t>Ticket_promedio</t>
  </si>
  <si>
    <t>Suma de Ventas_totales</t>
  </si>
  <si>
    <t>Suma de Unidades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</si>
  <si>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</si>
  <si>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</si>
  <si>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</si>
  <si>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</si>
  <si>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</si>
  <si>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</si>
  <si>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</si>
  <si>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</si>
  <si>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</si>
  <si>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</si>
  <si>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</si>
  <si>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</si>
  <si>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</si>
  <si>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</si>
  <si>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Tabla Categorías</t>
  </si>
  <si>
    <t>Tabla Productos</t>
  </si>
  <si>
    <t>Tabla Ventas vs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</si>
</sst>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"/>
    <numFmt numFmtId="165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  <dxfs count="10"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[ventas_limpias.xlsx]Tabla_dinamica!TablaDinámica1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Ventas mensuales 2024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76200">
            <a:solidFill>
              <a:schemeClr val="accent1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Tabla_dinamica!$B$3</c:f>
              <c:strCache>
                <c:ptCount val="1"/>
                <c:pt idx="0">
                  <c:v>Suma de Ventas_totales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76200">
              <a:solidFill>
                <a:schemeClr val="accent1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Tabla_dinamica!$A$4:$A$16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Tabla_dinamica!$B$4:$B$16</c:f>
              <c:numCache>
                <c:formatCode>"$"\ #,##0.00</c:formatCode>
                <c:ptCount val="12"/>
                <c:pt idx="0">
                  <c:v>22571592</c:v>
                </c:pt>
                <c:pt idx="1">
                  <c:v>36157061</c:v>
                </c:pt>
                <c:pt idx="2">
                  <c:v>16468357</c:v>
                </c:pt>
                <c:pt idx="3">
                  <c:v>39796599</c:v>
                </c:pt>
                <c:pt idx="4">
                  <c:v>50979351</c:v>
                </c:pt>
                <c:pt idx="5">
                  <c:v>50180779</c:v>
                </c:pt>
                <c:pt idx="6">
                  <c:v>40642889</c:v>
                </c:pt>
                <c:pt idx="7">
                  <c:v>50750428</c:v>
                </c:pt>
                <c:pt idx="8">
                  <c:v>34276091</c:v>
                </c:pt>
                <c:pt idx="9">
                  <c:v>41966201</c:v>
                </c:pt>
                <c:pt idx="10">
                  <c:v>44401307</c:v>
                </c:pt>
                <c:pt idx="11">
                  <c:v>44273481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0-42AA-893D-561E71F28610}"/>
            </c:ext>
          </c:extLst>
        </c:ser>
        <c:ser>
          <c:idx val="1"/>
          <c:order val="1"/>
          <c:tx>
            <c:strRef>
              <c:f>Tabla_dinamica!$C$3</c:f>
              <c:strCache>
                <c:ptCount val="1"/>
                <c:pt idx="0">
                  <c:v>Suma de Unidades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Tabla_dinamica!$A$4:$A$16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Tabla_dinamica!$C$4:$C$16</c:f>
              <c:numCache>
                <c:formatCode>General</c:formatCode>
                <c:ptCount val="12"/>
                <c:pt idx="0">
                  <c:v>171</c:v>
                </c:pt>
                <c:pt idx="1">
                  <c:v>249</c:v>
                </c:pt>
                <c:pt idx="2">
                  <c:v>102</c:v>
                </c:pt>
                <c:pt idx="3">
                  <c:v>247</c:v>
                </c:pt>
                <c:pt idx="4">
                  <c:v>332</c:v>
                </c:pt>
                <c:pt idx="5">
                  <c:v>275</c:v>
                </c:pt>
                <c:pt idx="6">
                  <c:v>228</c:v>
                </c:pt>
                <c:pt idx="7">
                  <c:v>320</c:v>
                </c:pt>
                <c:pt idx="8">
                  <c:v>228</c:v>
                </c:pt>
                <c:pt idx="9">
                  <c:v>255</c:v>
                </c:pt>
                <c:pt idx="10">
                  <c:v>262</c:v>
                </c:pt>
                <c:pt idx="11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90-42AA-893D-561E71F2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3295664"/>
        <c:axId val="663294832"/>
      </c:barChart>
      <c:catAx>
        <c:axId val="66329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63294832"/>
        <c:crosses val="autoZero"/>
        <c:auto val="1"/>
        <c:lblAlgn val="ctr"/>
        <c:lblOffset val="100"/>
        <c:noMultiLvlLbl val="0"/>
      </c:catAx>
      <c:valAx>
        <c:axId val="66329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6329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[ventas_limpias.xlsx]Tabla_dinamica!TablaDinámica5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Venta</a:t>
            </a:r>
            <a:r>
              <a:rPr lang="es-AR" baseline="0"/>
              <a:t> por categoría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Tabla_dinamica!$F$15</c:f>
              <c:strCache>
                <c:ptCount val="1"/>
                <c:pt idx="0">
                  <c:v>Suma de Ventas_totales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Tabla_dinamica!$E$16:$E$18</c:f>
              <c:strCache>
                <c:ptCount val="2"/>
                <c:pt idx="0">
                  <c:v>Electronica</c:v>
                </c:pt>
                <c:pt idx="1">
                  <c:v>Oficina</c:v>
                </c:pt>
              </c:strCache>
            </c:strRef>
          </c:cat>
          <c:val>
            <c:numRef>
              <c:f>Tabla_dinamica!$F$16:$F$18</c:f>
              <c:numCache>
                <c:formatCode>"$"\ #,##0.00</c:formatCode>
                <c:ptCount val="2"/>
                <c:pt idx="0">
                  <c:v>429824120</c:v>
                </c:pt>
                <c:pt idx="1">
                  <c:v>42640016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5-4F7F-B1F3-EF339FED9EDA}"/>
            </c:ext>
          </c:extLst>
        </c:ser>
        <c:ser>
          <c:idx val="1"/>
          <c:order val="1"/>
          <c:tx>
            <c:strRef>
              <c:f>Tabla_dinamica!$G$15</c:f>
              <c:strCache>
                <c:ptCount val="1"/>
                <c:pt idx="0">
                  <c:v>Suma de Unidades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Tabla_dinamica!$E$16:$E$18</c:f>
              <c:strCache>
                <c:ptCount val="2"/>
                <c:pt idx="0">
                  <c:v>Electronica</c:v>
                </c:pt>
                <c:pt idx="1">
                  <c:v>Oficina</c:v>
                </c:pt>
              </c:strCache>
            </c:strRef>
          </c:cat>
          <c:val>
            <c:numRef>
              <c:f>Tabla_dinamica!$G$16:$G$18</c:f>
              <c:numCache>
                <c:formatCode>General</c:formatCode>
                <c:ptCount val="2"/>
                <c:pt idx="0">
                  <c:v>2635</c:v>
                </c:pt>
                <c:pt idx="1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5-4F7F-B1F3-EF339FED9E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3041760"/>
        <c:axId val="563043424"/>
      </c:barChart>
      <c:catAx>
        <c:axId val="56304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3043424"/>
        <c:crosses val="autoZero"/>
        <c:auto val="1"/>
        <c:lblAlgn val="ctr"/>
        <c:lblOffset val="100"/>
        <c:noMultiLvlLbl val="0"/>
      </c:catAx>
      <c:valAx>
        <c:axId val="5630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304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[ventas_limpias.xlsx]Tabla_dinamica!TablaDinámica3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Productos con menor facturación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Tabla_dinamica!$F$3</c:f>
              <c:strCache>
                <c:ptCount val="1"/>
                <c:pt idx="0">
                  <c:v>Suma de Unidades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Tabla_dinamica!$E$4:$E$9</c:f>
              <c:strCache>
                <c:ptCount val="5"/>
                <c:pt idx="0">
                  <c:v>Impresora</c:v>
                </c:pt>
                <c:pt idx="1">
                  <c:v>Notebook</c:v>
                </c:pt>
                <c:pt idx="2">
                  <c:v>Router</c:v>
                </c:pt>
                <c:pt idx="3">
                  <c:v>Tablet</c:v>
                </c:pt>
                <c:pt idx="4">
                  <c:v>Monitor</c:v>
                </c:pt>
              </c:strCache>
            </c:strRef>
          </c:cat>
          <c:val>
            <c:numRef>
              <c:f>Tabla_dinamica!$F$4:$F$9</c:f>
              <c:numCache>
                <c:formatCode>General</c:formatCode>
                <c:ptCount val="5"/>
                <c:pt idx="0">
                  <c:v>281</c:v>
                </c:pt>
                <c:pt idx="1">
                  <c:v>366</c:v>
                </c:pt>
                <c:pt idx="2">
                  <c:v>294</c:v>
                </c:pt>
                <c:pt idx="3">
                  <c:v>340</c:v>
                </c:pt>
                <c:pt idx="4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3-4449-A7E9-61782DFC9AA7}"/>
            </c:ext>
          </c:extLst>
        </c:ser>
        <c:ser>
          <c:idx val="1"/>
          <c:order val="1"/>
          <c:tx>
            <c:strRef>
              <c:f>Tabla_dinamica!$G$3</c:f>
              <c:strCache>
                <c:ptCount val="1"/>
                <c:pt idx="0">
                  <c:v>Suma de Ventas_totales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Tabla_dinamica!$E$4:$E$9</c:f>
              <c:strCache>
                <c:ptCount val="5"/>
                <c:pt idx="0">
                  <c:v>Impresora</c:v>
                </c:pt>
                <c:pt idx="1">
                  <c:v>Notebook</c:v>
                </c:pt>
                <c:pt idx="2">
                  <c:v>Router</c:v>
                </c:pt>
                <c:pt idx="3">
                  <c:v>Tablet</c:v>
                </c:pt>
                <c:pt idx="4">
                  <c:v>Monitor</c:v>
                </c:pt>
              </c:strCache>
            </c:strRef>
          </c:cat>
          <c:val>
            <c:numRef>
              <c:f>Tabla_dinamica!$G$4:$G$9</c:f>
              <c:numCache>
                <c:formatCode>"$"\ #,##0.00</c:formatCode>
                <c:ptCount val="5"/>
                <c:pt idx="0">
                  <c:v>42640016</c:v>
                </c:pt>
                <c:pt idx="1">
                  <c:v>50929468</c:v>
                </c:pt>
                <c:pt idx="2">
                  <c:v>51567454</c:v>
                </c:pt>
                <c:pt idx="3">
                  <c:v>56934688</c:v>
                </c:pt>
                <c:pt idx="4">
                  <c:v>65153601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3-4449-A7E9-61782DFC9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88416032"/>
        <c:axId val="788415616"/>
      </c:barChart>
      <c:catAx>
        <c:axId val="7884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8415616"/>
        <c:crosses val="autoZero"/>
        <c:auto val="1"/>
        <c:lblAlgn val="ctr"/>
        <c:lblOffset val="100"/>
        <c:noMultiLvlLbl val="0"/>
      </c:catAx>
      <c:valAx>
        <c:axId val="7884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841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19050</xdr:rowOff>
    </xdr:from>
    <xdr:to>
      <xdr:col>6</xdr:col>
      <xdr:colOff>142875</xdr:colOff>
      <xdr:row>15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CCEA97B-4C17-4514-850A-0B738C640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13</xdr:col>
      <xdr:colOff>0</xdr:colOff>
      <xdr:row>15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EF7E045-BA80-4E12-B84A-9EB991222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161925</xdr:colOff>
      <xdr:row>16</xdr:row>
      <xdr:rowOff>180975</xdr:rowOff>
    </xdr:from>
    <xdr:to>
      <xdr:col>9</xdr:col>
      <xdr:colOff>390525</xdr:colOff>
      <xdr:row>31</xdr:row>
      <xdr:rowOff>66675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ECFA1A4-DAFC-44DD-90AD-28357D909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der" refreshedDate="46055.595416666663" createdVersion="7" refreshedVersion="7" minRefreshableVersion="3" recordCount="397" xr:uid="{6A579CED-00A7-47D4-AE6C-BFF29E91C824}">
  <cacheSource type="worksheet">
    <worksheetSource ref="A1:K398" sheet="Sheet1"/>
  </cacheSource>
  <cacheFields count="12">
    <cacheField name="Id_venta" numFmtId="0">
      <sharedItems containsSemiMixedTypes="0" containsString="0" containsNumber="1" containsInteger="1" minValue="1" maxValue="500"/>
    </cacheField>
    <cacheField name="Fecha" numFmtId="14">
      <sharedItems containsSemiMixedTypes="0" containsNonDate="0" containsDate="1" containsString="0" minDate="2024-01-01T00:00:00" maxDate="2024-12-31T00:00:00" count="237">
        <d v="2024-04-12T00:00:00"/>
        <d v="2024-12-14T00:00:00"/>
        <d v="2024-05-29T00:00:00"/>
        <d v="2024-11-04T00:00:00"/>
        <d v="2024-12-09T00:00:00"/>
        <d v="2024-10-20T00:00:00"/>
        <d v="2024-07-10T00:00:00"/>
        <d v="2024-10-03T00:00:00"/>
        <d v="2024-11-09T00:00:00"/>
        <d v="2024-01-22T00:00:00"/>
        <d v="2024-09-09T00:00:00"/>
        <d v="2024-12-10T00:00:00"/>
        <d v="2024-02-18T00:00:00"/>
        <d v="2024-02-28T00:00:00"/>
        <d v="2024-06-18T00:00:00"/>
        <d v="2024-07-06T00:00:00"/>
        <d v="2024-09-27T00:00:00"/>
        <d v="2024-06-23T00:00:00"/>
        <d v="2024-02-20T00:00:00"/>
        <d v="2024-12-29T00:00:00"/>
        <d v="2024-02-24T00:00:00"/>
        <d v="2024-08-31T00:00:00"/>
        <d v="2024-11-15T00:00:00"/>
        <d v="2024-05-10T00:00:00"/>
        <d v="2024-11-02T00:00:00"/>
        <d v="2024-05-14T00:00:00"/>
        <d v="2024-01-21T00:00:00"/>
        <d v="2024-11-24T00:00:00"/>
        <d v="2024-09-30T00:00:00"/>
        <d v="2024-03-29T00:00:00"/>
        <d v="2024-11-11T00:00:00"/>
        <d v="2024-01-14T00:00:00"/>
        <d v="2024-08-29T00:00:00"/>
        <d v="2024-12-11T00:00:00"/>
        <d v="2024-02-22T00:00:00"/>
        <d v="2024-12-05T00:00:00"/>
        <d v="2024-04-01T00:00:00"/>
        <d v="2024-09-20T00:00:00"/>
        <d v="2024-02-04T00:00:00"/>
        <d v="2024-07-24T00:00:00"/>
        <d v="2024-03-21T00:00:00"/>
        <d v="2024-02-19T00:00:00"/>
        <d v="2024-01-02T00:00:00"/>
        <d v="2024-02-23T00:00:00"/>
        <d v="2024-04-15T00:00:00"/>
        <d v="2024-11-05T00:00:00"/>
        <d v="2024-07-09T00:00:00"/>
        <d v="2024-08-05T00:00:00"/>
        <d v="2024-02-13T00:00:00"/>
        <d v="2024-06-10T00:00:00"/>
        <d v="2024-07-20T00:00:00"/>
        <d v="2024-12-16T00:00:00"/>
        <d v="2024-10-30T00:00:00"/>
        <d v="2024-08-02T00:00:00"/>
        <d v="2024-07-08T00:00:00"/>
        <d v="2024-10-22T00:00:00"/>
        <d v="2024-07-31T00:00:00"/>
        <d v="2024-07-26T00:00:00"/>
        <d v="2024-08-24T00:00:00"/>
        <d v="2024-12-03T00:00:00"/>
        <d v="2024-10-06T00:00:00"/>
        <d v="2024-08-04T00:00:00"/>
        <d v="2024-09-08T00:00:00"/>
        <d v="2024-02-10T00:00:00"/>
        <d v="2024-06-05T00:00:00"/>
        <d v="2024-01-15T00:00:00"/>
        <d v="2024-10-27T00:00:00"/>
        <d v="2024-11-22T00:00:00"/>
        <d v="2024-01-09T00:00:00"/>
        <d v="2024-05-08T00:00:00"/>
        <d v="2024-05-15T00:00:00"/>
        <d v="2024-03-03T00:00:00"/>
        <d v="2024-05-18T00:00:00"/>
        <d v="2024-06-11T00:00:00"/>
        <d v="2024-10-15T00:00:00"/>
        <d v="2024-01-28T00:00:00"/>
        <d v="2024-07-19T00:00:00"/>
        <d v="2024-11-23T00:00:00"/>
        <d v="2024-02-02T00:00:00"/>
        <d v="2024-02-17T00:00:00"/>
        <d v="2024-10-19T00:00:00"/>
        <d v="2024-04-08T00:00:00"/>
        <d v="2024-06-20T00:00:00"/>
        <d v="2024-12-25T00:00:00"/>
        <d v="2024-08-01T00:00:00"/>
        <d v="2024-08-14T00:00:00"/>
        <d v="2024-09-13T00:00:00"/>
        <d v="2024-01-05T00:00:00"/>
        <d v="2024-09-11T00:00:00"/>
        <d v="2024-12-24T00:00:00"/>
        <d v="2024-07-25T00:00:00"/>
        <d v="2024-06-27T00:00:00"/>
        <d v="2024-12-17T00:00:00"/>
        <d v="2024-08-18T00:00:00"/>
        <d v="2024-08-28T00:00:00"/>
        <d v="2024-02-21T00:00:00"/>
        <d v="2024-08-09T00:00:00"/>
        <d v="2024-05-22T00:00:00"/>
        <d v="2024-06-19T00:00:00"/>
        <d v="2024-01-29T00:00:00"/>
        <d v="2024-02-05T00:00:00"/>
        <d v="2024-01-13T00:00:00"/>
        <d v="2024-06-08T00:00:00"/>
        <d v="2024-07-05T00:00:00"/>
        <d v="2024-08-30T00:00:00"/>
        <d v="2024-10-10T00:00:00"/>
        <d v="2024-03-02T00:00:00"/>
        <d v="2024-04-17T00:00:00"/>
        <d v="2024-10-12T00:00:00"/>
        <d v="2024-05-07T00:00:00"/>
        <d v="2024-12-13T00:00:00"/>
        <d v="2024-08-12T00:00:00"/>
        <d v="2024-04-30T00:00:00"/>
        <d v="2024-04-25T00:00:00"/>
        <d v="2024-08-20T00:00:00"/>
        <d v="2024-05-16T00:00:00"/>
        <d v="2024-06-13T00:00:00"/>
        <d v="2024-05-31T00:00:00"/>
        <d v="2024-11-10T00:00:00"/>
        <d v="2024-04-05T00:00:00"/>
        <d v="2024-06-28T00:00:00"/>
        <d v="2024-04-22T00:00:00"/>
        <d v="2024-11-13T00:00:00"/>
        <d v="2024-09-24T00:00:00"/>
        <d v="2024-10-21T00:00:00"/>
        <d v="2024-04-10T00:00:00"/>
        <d v="2024-05-09T00:00:00"/>
        <d v="2024-08-07T00:00:00"/>
        <d v="2024-12-08T00:00:00"/>
        <d v="2024-08-11T00:00:00"/>
        <d v="2024-05-05T00:00:00"/>
        <d v="2024-07-16T00:00:00"/>
        <d v="2024-09-03T00:00:00"/>
        <d v="2024-11-19T00:00:00"/>
        <d v="2024-07-21T00:00:00"/>
        <d v="2024-07-02T00:00:00"/>
        <d v="2024-05-02T00:00:00"/>
        <d v="2024-11-20T00:00:00"/>
        <d v="2024-04-07T00:00:00"/>
        <d v="2024-08-27T00:00:00"/>
        <d v="2024-05-23T00:00:00"/>
        <d v="2024-04-06T00:00:00"/>
        <d v="2024-05-03T00:00:00"/>
        <d v="2024-11-21T00:00:00"/>
        <d v="2024-09-15T00:00:00"/>
        <d v="2024-05-27T00:00:00"/>
        <d v="2024-05-26T00:00:00"/>
        <d v="2024-07-17T00:00:00"/>
        <d v="2024-11-03T00:00:00"/>
        <d v="2024-09-23T00:00:00"/>
        <d v="2024-10-24T00:00:00"/>
        <d v="2024-09-19T00:00:00"/>
        <d v="2024-04-21T00:00:00"/>
        <d v="2024-02-29T00:00:00"/>
        <d v="2024-09-10T00:00:00"/>
        <d v="2024-05-19T00:00:00"/>
        <d v="2024-02-06T00:00:00"/>
        <d v="2024-04-29T00:00:00"/>
        <d v="2024-06-09T00:00:00"/>
        <d v="2024-03-15T00:00:00"/>
        <d v="2024-04-13T00:00:00"/>
        <d v="2024-06-01T00:00:00"/>
        <d v="2024-07-12T00:00:00"/>
        <d v="2024-06-17T00:00:00"/>
        <d v="2024-03-08T00:00:00"/>
        <d v="2024-06-24T00:00:00"/>
        <d v="2024-08-25T00:00:00"/>
        <d v="2024-06-06T00:00:00"/>
        <d v="2024-02-07T00:00:00"/>
        <d v="2024-08-17T00:00:00"/>
        <d v="2024-12-30T00:00:00"/>
        <d v="2024-10-09T00:00:00"/>
        <d v="2024-08-13T00:00:00"/>
        <d v="2024-11-12T00:00:00"/>
        <d v="2024-01-17T00:00:00"/>
        <d v="2024-02-15T00:00:00"/>
        <d v="2024-10-28T00:00:00"/>
        <d v="2024-06-29T00:00:00"/>
        <d v="2024-04-04T00:00:00"/>
        <d v="2024-09-12T00:00:00"/>
        <d v="2024-11-18T00:00:00"/>
        <d v="2024-10-07T00:00:00"/>
        <d v="2024-08-10T00:00:00"/>
        <d v="2024-02-27T00:00:00"/>
        <d v="2024-06-22T00:00:00"/>
        <d v="2024-04-23T00:00:00"/>
        <d v="2024-10-14T00:00:00"/>
        <d v="2024-12-07T00:00:00"/>
        <d v="2024-05-30T00:00:00"/>
        <d v="2024-05-06T00:00:00"/>
        <d v="2024-06-03T00:00:00"/>
        <d v="2024-09-29T00:00:00"/>
        <d v="2024-10-25T00:00:00"/>
        <d v="2024-09-02T00:00:00"/>
        <d v="2024-02-08T00:00:00"/>
        <d v="2024-01-26T00:00:00"/>
        <d v="2024-11-01T00:00:00"/>
        <d v="2024-11-08T00:00:00"/>
        <d v="2024-06-21T00:00:00"/>
        <d v="2024-01-20T00:00:00"/>
        <d v="2024-11-16T00:00:00"/>
        <d v="2024-05-21T00:00:00"/>
        <d v="2024-12-19T00:00:00"/>
        <d v="2024-11-17T00:00:00"/>
        <d v="2024-07-04T00:00:00"/>
        <d v="2024-10-31T00:00:00"/>
        <d v="2024-09-18T00:00:00"/>
        <d v="2024-12-15T00:00:00"/>
        <d v="2024-02-16T00:00:00"/>
        <d v="2024-12-20T00:00:00"/>
        <d v="2024-11-06T00:00:00"/>
        <d v="2024-09-25T00:00:00"/>
        <d v="2024-05-24T00:00:00"/>
        <d v="2024-11-14T00:00:00"/>
        <d v="2024-10-01T00:00:00"/>
        <d v="2024-08-16T00:00:00"/>
        <d v="2024-04-26T00:00:00"/>
        <d v="2024-10-05T00:00:00"/>
        <d v="2024-05-01T00:00:00"/>
        <d v="2024-01-01T00:00:00"/>
        <d v="2024-08-26T00:00:00"/>
        <d v="2024-10-16T00:00:00"/>
        <d v="2024-09-28T00:00:00"/>
        <d v="2024-03-09T00:00:00"/>
        <d v="2024-03-16T00:00:00"/>
        <d v="2024-06-02T00:00:00"/>
        <d v="2024-03-26T00:00:00"/>
        <d v="2024-07-03T00:00:00"/>
        <d v="2024-10-11T00:00:00"/>
        <d v="2024-04-03T00:00:00"/>
        <d v="2024-07-22T00:00:00"/>
        <d v="2024-04-09T00:00:00"/>
        <d v="2024-01-23T00:00:00"/>
        <d v="2024-09-06T00:00:00"/>
        <d v="2024-01-10T00:00:00"/>
        <d v="2024-01-04T00:00:00"/>
        <d v="2024-01-16T00:00:00"/>
      </sharedItems>
      <fieldGroup par="11" base="1">
        <rangePr groupBy="days" startDate="2024-01-01T00:00:00" endDate="2024-12-31T00:00:00"/>
        <groupItems count="368">
          <s v="&lt;1/1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2/2024"/>
        </groupItems>
      </fieldGroup>
    </cacheField>
    <cacheField name="Producto" numFmtId="0">
      <sharedItems count="8">
        <s v="Tablet"/>
        <s v="Router"/>
        <s v="Auriculares"/>
        <s v="Teclado"/>
        <s v="Monitor"/>
        <s v="Notebook"/>
        <s v="Mouse"/>
        <s v="Impresora"/>
      </sharedItems>
    </cacheField>
    <cacheField name="Categoria" numFmtId="0">
      <sharedItems count="2">
        <s v="Electronica"/>
        <s v="Oficina"/>
      </sharedItems>
    </cacheField>
    <cacheField name="Unidades" numFmtId="0">
      <sharedItems containsSemiMixedTypes="0" containsString="0" containsNumber="1" containsInteger="1" minValue="1" maxValue="14"/>
    </cacheField>
    <cacheField name="Precio_unitario" numFmtId="164">
      <sharedItems containsSemiMixedTypes="0" containsString="0" containsNumber="1" containsInteger="1" minValue="7396" maxValue="299923"/>
    </cacheField>
    <cacheField name="Cliente" numFmtId="0">
      <sharedItems containsSemiMixedTypes="0" containsString="0" containsNumber="1" containsInteger="1" minValue="1000" maxValue="1099"/>
    </cacheField>
    <cacheField name="Region" numFmtId="0">
      <sharedItems/>
    </cacheField>
    <cacheField name="Ventas_totales" numFmtId="164">
      <sharedItems containsSemiMixedTypes="0" containsString="0" containsNumber="1" containsInteger="1" minValue="14110" maxValue="4067770" count="397">
        <n v="387694"/>
        <n v="1361328"/>
        <n v="829145"/>
        <n v="554904"/>
        <n v="2212224"/>
        <n v="3496872"/>
        <n v="2181113"/>
        <n v="2756556"/>
        <n v="2515840"/>
        <n v="1341483"/>
        <n v="653792"/>
        <n v="1803252"/>
        <n v="1358863"/>
        <n v="630248"/>
        <n v="855144"/>
        <n v="818980"/>
        <n v="463107"/>
        <n v="3519792"/>
        <n v="25314"/>
        <n v="1831823"/>
        <n v="659612"/>
        <n v="180684"/>
        <n v="236112"/>
        <n v="2469879"/>
        <n v="2741088"/>
        <n v="1079790"/>
        <n v="39701"/>
        <n v="618100"/>
        <n v="922476"/>
        <n v="885600"/>
        <n v="2971380"/>
        <n v="48642"/>
        <n v="3416952"/>
        <n v="3516900"/>
        <n v="496885"/>
        <n v="1481680"/>
        <n v="1205694"/>
        <n v="275031"/>
        <n v="271194"/>
        <n v="946956"/>
        <n v="280088"/>
        <n v="351651"/>
        <n v="1390920"/>
        <n v="275964"/>
        <n v="101296"/>
        <n v="22188"/>
        <n v="267246"/>
        <n v="1733186"/>
        <n v="137663"/>
        <n v="130424"/>
        <n v="999798"/>
        <n v="1324100"/>
        <n v="209232"/>
        <n v="91231"/>
        <n v="823374"/>
        <n v="1629976"/>
        <n v="110228"/>
        <n v="2253936"/>
        <n v="487092"/>
        <n v="1039836"/>
        <n v="415623"/>
        <n v="1903272"/>
        <n v="1597536"/>
        <n v="269370"/>
        <n v="547080"/>
        <n v="715977"/>
        <n v="146688"/>
        <n v="571122"/>
        <n v="52638"/>
        <n v="108066"/>
        <n v="1430658"/>
        <n v="570408"/>
        <n v="1443299"/>
        <n v="582012"/>
        <n v="194248"/>
        <n v="773272"/>
        <n v="169134"/>
        <n v="807130"/>
        <n v="1786680"/>
        <n v="504114"/>
        <n v="1213681"/>
        <n v="597438"/>
        <n v="1846054"/>
        <n v="1233711"/>
        <n v="812420"/>
        <n v="917945"/>
        <n v="537158"/>
        <n v="1409682"/>
        <n v="3314612"/>
        <n v="578142"/>
        <n v="1301856"/>
        <n v="2504004"/>
        <n v="266421"/>
        <n v="3692892"/>
        <n v="372528"/>
        <n v="707481"/>
        <n v="3038431"/>
        <n v="2028096"/>
        <n v="1553838"/>
        <n v="1439037"/>
        <n v="412375"/>
        <n v="787495"/>
        <n v="2353816"/>
        <n v="1338708"/>
        <n v="257572"/>
        <n v="140943"/>
        <n v="525902"/>
        <n v="196212"/>
        <n v="3236486"/>
        <n v="296385"/>
        <n v="2322860"/>
        <n v="117215"/>
        <n v="1465865"/>
        <n v="745485"/>
        <n v="950928"/>
        <n v="751800"/>
        <n v="1036046"/>
        <n v="654090"/>
        <n v="562152"/>
        <n v="4067770"/>
        <n v="695160"/>
        <n v="2744049"/>
        <n v="1148475"/>
        <n v="291340"/>
        <n v="871772"/>
        <n v="791748"/>
        <n v="568209"/>
        <n v="797952"/>
        <n v="841340"/>
        <n v="1909390"/>
        <n v="1721952"/>
        <n v="3360012"/>
        <n v="1006772"/>
        <n v="184362"/>
        <n v="94293"/>
        <n v="62770"/>
        <n v="90530"/>
        <n v="2020949"/>
        <n v="420780"/>
        <n v="1738611"/>
        <n v="525546"/>
        <n v="1978600"/>
        <n v="1054548"/>
        <n v="243260"/>
        <n v="1513230"/>
        <n v="1528956"/>
        <n v="1338350"/>
        <n v="105674"/>
        <n v="3186600"/>
        <n v="278680"/>
        <n v="301869"/>
        <n v="840830"/>
        <n v="275856"/>
        <n v="79744"/>
        <n v="2062872"/>
        <n v="269498"/>
        <n v="2178024"/>
        <n v="1657663"/>
        <n v="437515"/>
        <n v="778038"/>
        <n v="272124"/>
        <n v="980920"/>
        <n v="1289652"/>
        <n v="2851475"/>
        <n v="1301288"/>
        <n v="1494783"/>
        <n v="1650810"/>
        <n v="990590"/>
        <n v="133848"/>
        <n v="789380"/>
        <n v="554304"/>
        <n v="505755"/>
        <n v="2589525"/>
        <n v="297231"/>
        <n v="2418026"/>
        <n v="169053"/>
        <n v="148596"/>
        <n v="422752"/>
        <n v="222495"/>
        <n v="1222417"/>
        <n v="3502772"/>
        <n v="1487982"/>
        <n v="1114817"/>
        <n v="1053675"/>
        <n v="164586"/>
        <n v="1596440"/>
        <n v="595683"/>
        <n v="547024"/>
        <n v="1991836"/>
        <n v="224724"/>
        <n v="568685"/>
        <n v="2605596"/>
        <n v="1913640"/>
        <n v="1406790"/>
        <n v="335166"/>
        <n v="1525839"/>
        <n v="792708"/>
        <n v="112624"/>
        <n v="168141"/>
        <n v="880192"/>
        <n v="1719648"/>
        <n v="1041200"/>
        <n v="1458783"/>
        <n v="153280"/>
        <n v="287481"/>
        <n v="417564"/>
        <n v="845872"/>
        <n v="2277828"/>
        <n v="939336"/>
        <n v="2551290"/>
        <n v="621066"/>
        <n v="3903158"/>
        <n v="820165"/>
        <n v="1217174"/>
        <n v="840836"/>
        <n v="1573600"/>
        <n v="3620778"/>
        <n v="1000810"/>
        <n v="544401"/>
        <n v="1084785"/>
        <n v="1610378"/>
        <n v="1381092"/>
        <n v="1234604"/>
        <n v="503886"/>
        <n v="156094"/>
        <n v="166900"/>
        <n v="460792"/>
        <n v="527282"/>
        <n v="839958"/>
        <n v="2485681"/>
        <n v="1071220"/>
        <n v="867420"/>
        <n v="1380450"/>
        <n v="2763768"/>
        <n v="481224"/>
        <n v="771852"/>
        <n v="685140"/>
        <n v="1174327"/>
        <n v="2990317"/>
        <n v="1609600"/>
        <n v="1002287"/>
        <n v="167932"/>
        <n v="73170"/>
        <n v="534435"/>
        <n v="3823326"/>
        <n v="1172644"/>
        <n v="2075990"/>
        <n v="1139688"/>
        <n v="613977"/>
        <n v="91652"/>
        <n v="3181392"/>
        <n v="49950"/>
        <n v="1302360"/>
        <n v="1500611"/>
        <n v="2646540"/>
        <n v="138648"/>
        <n v="362074"/>
        <n v="422160"/>
        <n v="1027230"/>
        <n v="929853"/>
        <n v="958131"/>
        <n v="3397758"/>
        <n v="1437954"/>
        <n v="1171720"/>
        <n v="927808"/>
        <n v="3195136"/>
        <n v="1648152"/>
        <n v="947994"/>
        <n v="331835"/>
        <n v="2377500"/>
        <n v="963224"/>
        <n v="1129830"/>
        <n v="397904"/>
        <n v="422367"/>
        <n v="207332"/>
        <n v="1164530"/>
        <n v="500022"/>
        <n v="1748536"/>
        <n v="229905"/>
        <n v="1548288"/>
        <n v="187958"/>
        <n v="1696242"/>
        <n v="291972"/>
        <n v="3331216"/>
        <n v="553982"/>
        <n v="93465"/>
        <n v="1097019"/>
        <n v="1080667"/>
        <n v="410073"/>
        <n v="198535"/>
        <n v="1653174"/>
        <n v="2275000"/>
        <n v="1069700"/>
        <n v="1144444"/>
        <n v="1751020"/>
        <n v="3111990"/>
        <n v="1809236"/>
        <n v="1327424"/>
        <n v="124273"/>
        <n v="1418456"/>
        <n v="1267500"/>
        <n v="1369032"/>
        <n v="137311"/>
        <n v="3356444"/>
        <n v="1002184"/>
        <n v="1008665"/>
        <n v="1817640"/>
        <n v="250060"/>
        <n v="14110"/>
        <n v="1009692"/>
        <n v="352496"/>
        <n v="4060770"/>
        <n v="1090610"/>
        <n v="2397600"/>
        <n v="761178"/>
        <n v="768048"/>
        <n v="955608"/>
        <n v="554115"/>
        <n v="3931382"/>
        <n v="2015664"/>
        <n v="266600"/>
        <n v="1061543"/>
        <n v="521416"/>
        <n v="67250"/>
        <n v="1954008"/>
        <n v="2621097"/>
        <n v="124461"/>
        <n v="1610055"/>
        <n v="212752"/>
        <n v="2235069"/>
        <n v="4013128"/>
        <n v="2282784"/>
        <n v="806183"/>
        <n v="3853766"/>
        <n v="492708"/>
        <n v="975681"/>
        <n v="139152"/>
        <n v="1047280"/>
        <n v="3124800"/>
        <n v="232558"/>
        <n v="2122640"/>
        <n v="370548"/>
        <n v="1010480"/>
        <n v="2137941"/>
        <n v="409980"/>
        <n v="433218"/>
        <n v="2712580"/>
        <n v="495852"/>
        <n v="1750098"/>
        <n v="2099474"/>
        <n v="91088"/>
        <n v="3791984"/>
        <n v="973556"/>
        <n v="1321562"/>
        <n v="1160832"/>
        <n v="227696"/>
        <n v="52356"/>
        <n v="425399"/>
        <n v="1195910"/>
        <n v="580720"/>
        <n v="284501"/>
        <n v="669584"/>
        <n v="3072048"/>
        <n v="1594989"/>
        <n v="1033506"/>
        <n v="2413860"/>
        <n v="55224"/>
        <n v="1840392"/>
        <n v="1368075"/>
        <n v="1545327"/>
        <n v="980276"/>
        <n v="2737572"/>
        <n v="508872"/>
        <n v="200804"/>
        <n v="2683210"/>
        <n v="3898999"/>
        <n v="2887800"/>
        <n v="608223"/>
        <n v="526959"/>
        <n v="1524467"/>
        <n v="1944200"/>
        <n v="295960"/>
        <n v="535212"/>
        <n v="1594758"/>
        <n v="705306"/>
        <n v="2258100"/>
        <n v="3425721"/>
        <n v="1278756"/>
        <n v="2234244"/>
        <n v="1920065"/>
        <n v="250864"/>
        <n v="457450"/>
        <n v="2502136"/>
        <n v="1495390"/>
        <n v="1396989"/>
        <n v="119793"/>
        <n v="34578"/>
      </sharedItems>
    </cacheField>
    <cacheField name="Mes" numFmtId="0">
      <sharedItems containsSemiMixedTypes="0" containsString="0" containsNumber="1" containsInteger="1" minValue="1" maxValue="12"/>
    </cacheField>
    <cacheField name="Año" numFmtId="0">
      <sharedItems containsSemiMixedTypes="0" containsString="0" containsNumber="1" containsInteger="1" minValue="2024" maxValue="2024"/>
    </cacheField>
    <cacheField name="Meses" numFmtId="0" databaseField="0">
      <fieldGroup base="1">
        <rangePr groupBy="months" startDate="2024-01-01T00:00:00" endDate="2024-12-31T00:00:00"/>
        <groupItems count="14">
          <s v="&lt;1/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n v="1"/>
    <x v="0"/>
    <x v="0"/>
    <x v="0"/>
    <n v="2"/>
    <n v="193847"/>
    <n v="1048"/>
    <s v="GBA"/>
    <x v="0"/>
    <n v="4"/>
    <n v="2024"/>
  </r>
  <r>
    <n v="2"/>
    <x v="1"/>
    <x v="1"/>
    <x v="0"/>
    <n v="6"/>
    <n v="226888"/>
    <n v="1076"/>
    <s v="CABA"/>
    <x v="1"/>
    <n v="12"/>
    <n v="2024"/>
  </r>
  <r>
    <n v="17"/>
    <x v="2"/>
    <x v="2"/>
    <x v="0"/>
    <n v="5"/>
    <n v="165829"/>
    <n v="1041"/>
    <s v="GBA"/>
    <x v="2"/>
    <n v="5"/>
    <n v="2024"/>
  </r>
  <r>
    <n v="18"/>
    <x v="3"/>
    <x v="3"/>
    <x v="0"/>
    <n v="14"/>
    <n v="39636"/>
    <n v="1060"/>
    <s v="GBA"/>
    <x v="3"/>
    <n v="11"/>
    <n v="2024"/>
  </r>
  <r>
    <n v="20"/>
    <x v="4"/>
    <x v="2"/>
    <x v="0"/>
    <n v="12"/>
    <n v="184352"/>
    <n v="1055"/>
    <s v="Interior"/>
    <x v="4"/>
    <n v="12"/>
    <n v="2024"/>
  </r>
  <r>
    <n v="21"/>
    <x v="5"/>
    <x v="4"/>
    <x v="0"/>
    <n v="12"/>
    <n v="291406"/>
    <n v="1035"/>
    <s v="Interior"/>
    <x v="5"/>
    <n v="10"/>
    <n v="2024"/>
  </r>
  <r>
    <n v="22"/>
    <x v="6"/>
    <x v="3"/>
    <x v="0"/>
    <n v="11"/>
    <n v="198283"/>
    <n v="1083"/>
    <s v="Interior"/>
    <x v="6"/>
    <n v="7"/>
    <n v="2024"/>
  </r>
  <r>
    <n v="23"/>
    <x v="7"/>
    <x v="5"/>
    <x v="0"/>
    <n v="11"/>
    <n v="250596"/>
    <n v="1067"/>
    <s v="GBA"/>
    <x v="7"/>
    <n v="10"/>
    <n v="2024"/>
  </r>
  <r>
    <n v="25"/>
    <x v="8"/>
    <x v="0"/>
    <x v="0"/>
    <n v="10"/>
    <n v="251584"/>
    <n v="1053"/>
    <s v="Interior"/>
    <x v="8"/>
    <n v="11"/>
    <n v="2024"/>
  </r>
  <r>
    <n v="26"/>
    <x v="9"/>
    <x v="6"/>
    <x v="0"/>
    <n v="11"/>
    <n v="121953"/>
    <n v="1000"/>
    <s v="CABA"/>
    <x v="9"/>
    <n v="1"/>
    <n v="2024"/>
  </r>
  <r>
    <n v="27"/>
    <x v="10"/>
    <x v="3"/>
    <x v="0"/>
    <n v="4"/>
    <n v="163448"/>
    <n v="1043"/>
    <s v="GBA"/>
    <x v="10"/>
    <n v="9"/>
    <n v="2024"/>
  </r>
  <r>
    <n v="29"/>
    <x v="11"/>
    <x v="2"/>
    <x v="0"/>
    <n v="12"/>
    <n v="150271"/>
    <n v="1046"/>
    <s v="CABA"/>
    <x v="11"/>
    <n v="12"/>
    <n v="2024"/>
  </r>
  <r>
    <n v="30"/>
    <x v="12"/>
    <x v="2"/>
    <x v="0"/>
    <n v="11"/>
    <n v="123533"/>
    <n v="1012"/>
    <s v="GBA"/>
    <x v="12"/>
    <n v="2"/>
    <n v="2024"/>
  </r>
  <r>
    <n v="31"/>
    <x v="13"/>
    <x v="4"/>
    <x v="0"/>
    <n v="8"/>
    <n v="78781"/>
    <n v="1021"/>
    <s v="GBA"/>
    <x v="13"/>
    <n v="2"/>
    <n v="2024"/>
  </r>
  <r>
    <n v="32"/>
    <x v="14"/>
    <x v="1"/>
    <x v="0"/>
    <n v="12"/>
    <n v="71262"/>
    <n v="1020"/>
    <s v="CABA"/>
    <x v="14"/>
    <n v="6"/>
    <n v="2024"/>
  </r>
  <r>
    <n v="33"/>
    <x v="15"/>
    <x v="7"/>
    <x v="1"/>
    <n v="10"/>
    <n v="81898"/>
    <n v="1085"/>
    <s v="CABA"/>
    <x v="15"/>
    <n v="7"/>
    <n v="2024"/>
  </r>
  <r>
    <n v="34"/>
    <x v="16"/>
    <x v="6"/>
    <x v="0"/>
    <n v="3"/>
    <n v="154369"/>
    <n v="1091"/>
    <s v="Interior"/>
    <x v="16"/>
    <n v="9"/>
    <n v="2024"/>
  </r>
  <r>
    <n v="36"/>
    <x v="17"/>
    <x v="3"/>
    <x v="0"/>
    <n v="12"/>
    <n v="293316"/>
    <n v="1025"/>
    <s v="GBA"/>
    <x v="17"/>
    <n v="6"/>
    <n v="2024"/>
  </r>
  <r>
    <n v="37"/>
    <x v="18"/>
    <x v="6"/>
    <x v="0"/>
    <n v="2"/>
    <n v="12657"/>
    <n v="1008"/>
    <s v="Interior"/>
    <x v="18"/>
    <n v="2"/>
    <n v="2024"/>
  </r>
  <r>
    <n v="38"/>
    <x v="19"/>
    <x v="3"/>
    <x v="0"/>
    <n v="7"/>
    <n v="261689"/>
    <n v="1014"/>
    <s v="Interior"/>
    <x v="19"/>
    <n v="12"/>
    <n v="2024"/>
  </r>
  <r>
    <n v="39"/>
    <x v="20"/>
    <x v="1"/>
    <x v="0"/>
    <n v="4"/>
    <n v="164903"/>
    <n v="1009"/>
    <s v="Interior"/>
    <x v="20"/>
    <n v="2"/>
    <n v="2024"/>
  </r>
  <r>
    <n v="40"/>
    <x v="21"/>
    <x v="5"/>
    <x v="0"/>
    <n v="14"/>
    <n v="12906"/>
    <n v="1087"/>
    <s v="Interior"/>
    <x v="21"/>
    <n v="8"/>
    <n v="2024"/>
  </r>
  <r>
    <n v="41"/>
    <x v="22"/>
    <x v="6"/>
    <x v="0"/>
    <n v="4"/>
    <n v="59028"/>
    <n v="1041"/>
    <s v="CABA"/>
    <x v="22"/>
    <n v="11"/>
    <n v="2024"/>
  </r>
  <r>
    <n v="42"/>
    <x v="23"/>
    <x v="0"/>
    <x v="0"/>
    <n v="9"/>
    <n v="274431"/>
    <n v="1071"/>
    <s v="GBA"/>
    <x v="23"/>
    <n v="5"/>
    <n v="2024"/>
  </r>
  <r>
    <n v="43"/>
    <x v="24"/>
    <x v="2"/>
    <x v="0"/>
    <n v="14"/>
    <n v="195792"/>
    <n v="1023"/>
    <s v="Interior"/>
    <x v="24"/>
    <n v="11"/>
    <n v="2024"/>
  </r>
  <r>
    <n v="44"/>
    <x v="25"/>
    <x v="6"/>
    <x v="0"/>
    <n v="10"/>
    <n v="107979"/>
    <n v="1079"/>
    <s v="CABA"/>
    <x v="25"/>
    <n v="5"/>
    <n v="2024"/>
  </r>
  <r>
    <n v="45"/>
    <x v="26"/>
    <x v="6"/>
    <x v="0"/>
    <n v="1"/>
    <n v="39701"/>
    <n v="1048"/>
    <s v="CABA"/>
    <x v="26"/>
    <n v="1"/>
    <n v="2024"/>
  </r>
  <r>
    <n v="46"/>
    <x v="27"/>
    <x v="6"/>
    <x v="0"/>
    <n v="7"/>
    <n v="88300"/>
    <n v="1025"/>
    <s v="CABA"/>
    <x v="27"/>
    <n v="11"/>
    <n v="2024"/>
  </r>
  <r>
    <n v="48"/>
    <x v="28"/>
    <x v="6"/>
    <x v="0"/>
    <n v="6"/>
    <n v="153746"/>
    <n v="1036"/>
    <s v="Interior"/>
    <x v="28"/>
    <n v="9"/>
    <n v="2024"/>
  </r>
  <r>
    <n v="49"/>
    <x v="29"/>
    <x v="3"/>
    <x v="0"/>
    <n v="10"/>
    <n v="88560"/>
    <n v="1067"/>
    <s v="GBA"/>
    <x v="29"/>
    <n v="3"/>
    <n v="2024"/>
  </r>
  <r>
    <n v="50"/>
    <x v="30"/>
    <x v="5"/>
    <x v="0"/>
    <n v="12"/>
    <n v="247615"/>
    <n v="1049"/>
    <s v="Interior"/>
    <x v="30"/>
    <n v="11"/>
    <n v="2024"/>
  </r>
  <r>
    <n v="51"/>
    <x v="31"/>
    <x v="1"/>
    <x v="0"/>
    <n v="1"/>
    <n v="48642"/>
    <n v="1023"/>
    <s v="Interior"/>
    <x v="31"/>
    <n v="1"/>
    <n v="2024"/>
  </r>
  <r>
    <n v="52"/>
    <x v="32"/>
    <x v="4"/>
    <x v="0"/>
    <n v="12"/>
    <n v="284746"/>
    <n v="1018"/>
    <s v="CABA"/>
    <x v="32"/>
    <n v="8"/>
    <n v="2024"/>
  </r>
  <r>
    <n v="54"/>
    <x v="33"/>
    <x v="2"/>
    <x v="0"/>
    <n v="12"/>
    <n v="293075"/>
    <n v="1059"/>
    <s v="Interior"/>
    <x v="33"/>
    <n v="12"/>
    <n v="2024"/>
  </r>
  <r>
    <n v="55"/>
    <x v="34"/>
    <x v="6"/>
    <x v="0"/>
    <n v="5"/>
    <n v="99377"/>
    <n v="1038"/>
    <s v="Interior"/>
    <x v="34"/>
    <n v="2"/>
    <n v="2024"/>
  </r>
  <r>
    <n v="56"/>
    <x v="35"/>
    <x v="2"/>
    <x v="0"/>
    <n v="5"/>
    <n v="296336"/>
    <n v="1073"/>
    <s v="CABA"/>
    <x v="35"/>
    <n v="12"/>
    <n v="2024"/>
  </r>
  <r>
    <n v="57"/>
    <x v="36"/>
    <x v="3"/>
    <x v="0"/>
    <n v="14"/>
    <n v="86121"/>
    <n v="1088"/>
    <s v="CABA"/>
    <x v="36"/>
    <n v="4"/>
    <n v="2024"/>
  </r>
  <r>
    <n v="58"/>
    <x v="37"/>
    <x v="2"/>
    <x v="0"/>
    <n v="9"/>
    <n v="30559"/>
    <n v="1017"/>
    <s v="Interior"/>
    <x v="37"/>
    <n v="9"/>
    <n v="2024"/>
  </r>
  <r>
    <n v="59"/>
    <x v="38"/>
    <x v="0"/>
    <x v="0"/>
    <n v="7"/>
    <n v="38742"/>
    <n v="1018"/>
    <s v="GBA"/>
    <x v="38"/>
    <n v="2"/>
    <n v="2024"/>
  </r>
  <r>
    <n v="60"/>
    <x v="39"/>
    <x v="4"/>
    <x v="0"/>
    <n v="6"/>
    <n v="157826"/>
    <n v="1035"/>
    <s v="GBA"/>
    <x v="39"/>
    <n v="7"/>
    <n v="2024"/>
  </r>
  <r>
    <n v="61"/>
    <x v="40"/>
    <x v="5"/>
    <x v="0"/>
    <n v="2"/>
    <n v="140044"/>
    <n v="1073"/>
    <s v="CABA"/>
    <x v="40"/>
    <n v="3"/>
    <n v="2024"/>
  </r>
  <r>
    <n v="62"/>
    <x v="41"/>
    <x v="2"/>
    <x v="0"/>
    <n v="3"/>
    <n v="117217"/>
    <n v="1096"/>
    <s v="CABA"/>
    <x v="41"/>
    <n v="2"/>
    <n v="2024"/>
  </r>
  <r>
    <n v="64"/>
    <x v="42"/>
    <x v="5"/>
    <x v="0"/>
    <n v="10"/>
    <n v="139092"/>
    <n v="1068"/>
    <s v="CABA"/>
    <x v="42"/>
    <n v="1"/>
    <n v="2024"/>
  </r>
  <r>
    <n v="65"/>
    <x v="43"/>
    <x v="4"/>
    <x v="0"/>
    <n v="3"/>
    <n v="91988"/>
    <n v="1046"/>
    <s v="Interior"/>
    <x v="43"/>
    <n v="2"/>
    <n v="2024"/>
  </r>
  <r>
    <n v="66"/>
    <x v="44"/>
    <x v="6"/>
    <x v="0"/>
    <n v="2"/>
    <n v="50648"/>
    <n v="1048"/>
    <s v="GBA"/>
    <x v="44"/>
    <n v="4"/>
    <n v="2024"/>
  </r>
  <r>
    <n v="68"/>
    <x v="45"/>
    <x v="5"/>
    <x v="0"/>
    <n v="3"/>
    <n v="7396"/>
    <n v="1097"/>
    <s v="Interior"/>
    <x v="45"/>
    <n v="11"/>
    <n v="2024"/>
  </r>
  <r>
    <n v="69"/>
    <x v="46"/>
    <x v="0"/>
    <x v="0"/>
    <n v="3"/>
    <n v="89082"/>
    <n v="1032"/>
    <s v="CABA"/>
    <x v="46"/>
    <n v="7"/>
    <n v="2024"/>
  </r>
  <r>
    <n v="70"/>
    <x v="47"/>
    <x v="0"/>
    <x v="0"/>
    <n v="13"/>
    <n v="133322"/>
    <n v="1020"/>
    <s v="GBA"/>
    <x v="47"/>
    <n v="8"/>
    <n v="2024"/>
  </r>
  <r>
    <n v="71"/>
    <x v="48"/>
    <x v="3"/>
    <x v="0"/>
    <n v="1"/>
    <n v="137663"/>
    <n v="1080"/>
    <s v="CABA"/>
    <x v="48"/>
    <n v="2"/>
    <n v="2024"/>
  </r>
  <r>
    <n v="72"/>
    <x v="49"/>
    <x v="5"/>
    <x v="0"/>
    <n v="8"/>
    <n v="16303"/>
    <n v="1021"/>
    <s v="GBA"/>
    <x v="49"/>
    <n v="6"/>
    <n v="2024"/>
  </r>
  <r>
    <n v="73"/>
    <x v="50"/>
    <x v="3"/>
    <x v="0"/>
    <n v="6"/>
    <n v="166633"/>
    <n v="1047"/>
    <s v="Interior"/>
    <x v="50"/>
    <n v="7"/>
    <n v="2024"/>
  </r>
  <r>
    <n v="75"/>
    <x v="51"/>
    <x v="4"/>
    <x v="0"/>
    <n v="5"/>
    <n v="264820"/>
    <n v="1014"/>
    <s v="Interior"/>
    <x v="51"/>
    <n v="12"/>
    <n v="2024"/>
  </r>
  <r>
    <n v="76"/>
    <x v="52"/>
    <x v="6"/>
    <x v="0"/>
    <n v="2"/>
    <n v="104616"/>
    <n v="1034"/>
    <s v="GBA"/>
    <x v="52"/>
    <n v="10"/>
    <n v="2024"/>
  </r>
  <r>
    <n v="77"/>
    <x v="16"/>
    <x v="5"/>
    <x v="0"/>
    <n v="1"/>
    <n v="91231"/>
    <n v="1091"/>
    <s v="CABA"/>
    <x v="53"/>
    <n v="9"/>
    <n v="2024"/>
  </r>
  <r>
    <n v="78"/>
    <x v="53"/>
    <x v="1"/>
    <x v="0"/>
    <n v="3"/>
    <n v="274458"/>
    <n v="1070"/>
    <s v="CABA"/>
    <x v="54"/>
    <n v="8"/>
    <n v="2024"/>
  </r>
  <r>
    <n v="80"/>
    <x v="54"/>
    <x v="0"/>
    <x v="0"/>
    <n v="8"/>
    <n v="203747"/>
    <n v="1010"/>
    <s v="GBA"/>
    <x v="55"/>
    <n v="7"/>
    <n v="2024"/>
  </r>
  <r>
    <n v="81"/>
    <x v="55"/>
    <x v="1"/>
    <x v="0"/>
    <n v="1"/>
    <n v="110228"/>
    <n v="1009"/>
    <s v="GBA"/>
    <x v="56"/>
    <n v="10"/>
    <n v="2024"/>
  </r>
  <r>
    <n v="82"/>
    <x v="56"/>
    <x v="7"/>
    <x v="1"/>
    <n v="12"/>
    <n v="187828"/>
    <n v="1072"/>
    <s v="GBA"/>
    <x v="57"/>
    <n v="7"/>
    <n v="2024"/>
  </r>
  <r>
    <n v="83"/>
    <x v="57"/>
    <x v="0"/>
    <x v="0"/>
    <n v="3"/>
    <n v="162364"/>
    <n v="1077"/>
    <s v="GBA"/>
    <x v="58"/>
    <n v="7"/>
    <n v="2024"/>
  </r>
  <r>
    <n v="84"/>
    <x v="58"/>
    <x v="2"/>
    <x v="0"/>
    <n v="14"/>
    <n v="74274"/>
    <n v="1076"/>
    <s v="GBA"/>
    <x v="59"/>
    <n v="8"/>
    <n v="2024"/>
  </r>
  <r>
    <n v="85"/>
    <x v="59"/>
    <x v="4"/>
    <x v="0"/>
    <n v="3"/>
    <n v="138541"/>
    <n v="1056"/>
    <s v="CABA"/>
    <x v="60"/>
    <n v="12"/>
    <n v="2024"/>
  </r>
  <r>
    <n v="87"/>
    <x v="60"/>
    <x v="1"/>
    <x v="0"/>
    <n v="12"/>
    <n v="158606"/>
    <n v="1001"/>
    <s v="GBA"/>
    <x v="61"/>
    <n v="10"/>
    <n v="2024"/>
  </r>
  <r>
    <n v="88"/>
    <x v="61"/>
    <x v="2"/>
    <x v="0"/>
    <n v="8"/>
    <n v="199692"/>
    <n v="1063"/>
    <s v="CABA"/>
    <x v="62"/>
    <n v="8"/>
    <n v="2024"/>
  </r>
  <r>
    <n v="89"/>
    <x v="62"/>
    <x v="1"/>
    <x v="0"/>
    <n v="5"/>
    <n v="53874"/>
    <n v="1034"/>
    <s v="GBA"/>
    <x v="63"/>
    <n v="9"/>
    <n v="2024"/>
  </r>
  <r>
    <n v="90"/>
    <x v="15"/>
    <x v="5"/>
    <x v="0"/>
    <n v="10"/>
    <n v="54708"/>
    <n v="1006"/>
    <s v="CABA"/>
    <x v="64"/>
    <n v="7"/>
    <n v="2024"/>
  </r>
  <r>
    <n v="91"/>
    <x v="63"/>
    <x v="3"/>
    <x v="0"/>
    <n v="9"/>
    <n v="79553"/>
    <n v="1084"/>
    <s v="CABA"/>
    <x v="65"/>
    <n v="2"/>
    <n v="2024"/>
  </r>
  <r>
    <n v="92"/>
    <x v="64"/>
    <x v="5"/>
    <x v="0"/>
    <n v="2"/>
    <n v="73344"/>
    <n v="1017"/>
    <s v="Interior"/>
    <x v="66"/>
    <n v="6"/>
    <n v="2024"/>
  </r>
  <r>
    <n v="93"/>
    <x v="65"/>
    <x v="7"/>
    <x v="1"/>
    <n v="3"/>
    <n v="190374"/>
    <n v="1066"/>
    <s v="Interior"/>
    <x v="67"/>
    <n v="1"/>
    <n v="2024"/>
  </r>
  <r>
    <n v="94"/>
    <x v="66"/>
    <x v="5"/>
    <x v="0"/>
    <n v="1"/>
    <n v="52638"/>
    <n v="1041"/>
    <s v="Interior"/>
    <x v="68"/>
    <n v="10"/>
    <n v="2024"/>
  </r>
  <r>
    <n v="96"/>
    <x v="11"/>
    <x v="7"/>
    <x v="1"/>
    <n v="14"/>
    <n v="7719"/>
    <n v="1040"/>
    <s v="GBA"/>
    <x v="69"/>
    <n v="12"/>
    <n v="2024"/>
  </r>
  <r>
    <n v="97"/>
    <x v="67"/>
    <x v="4"/>
    <x v="0"/>
    <n v="9"/>
    <n v="158962"/>
    <n v="1074"/>
    <s v="Interior"/>
    <x v="70"/>
    <n v="11"/>
    <n v="2024"/>
  </r>
  <r>
    <n v="98"/>
    <x v="68"/>
    <x v="0"/>
    <x v="0"/>
    <n v="12"/>
    <n v="47534"/>
    <n v="1023"/>
    <s v="CABA"/>
    <x v="71"/>
    <n v="1"/>
    <n v="2024"/>
  </r>
  <r>
    <n v="100"/>
    <x v="69"/>
    <x v="7"/>
    <x v="1"/>
    <n v="11"/>
    <n v="131209"/>
    <n v="1045"/>
    <s v="Interior"/>
    <x v="72"/>
    <n v="5"/>
    <n v="2024"/>
  </r>
  <r>
    <n v="101"/>
    <x v="70"/>
    <x v="2"/>
    <x v="0"/>
    <n v="3"/>
    <n v="194004"/>
    <n v="1018"/>
    <s v="CABA"/>
    <x v="73"/>
    <n v="5"/>
    <n v="2024"/>
  </r>
  <r>
    <n v="102"/>
    <x v="71"/>
    <x v="3"/>
    <x v="0"/>
    <n v="2"/>
    <n v="97124"/>
    <n v="1067"/>
    <s v="GBA"/>
    <x v="74"/>
    <n v="3"/>
    <n v="2024"/>
  </r>
  <r>
    <n v="103"/>
    <x v="72"/>
    <x v="3"/>
    <x v="0"/>
    <n v="8"/>
    <n v="96659"/>
    <n v="1089"/>
    <s v="GBA"/>
    <x v="75"/>
    <n v="5"/>
    <n v="2024"/>
  </r>
  <r>
    <n v="104"/>
    <x v="40"/>
    <x v="5"/>
    <x v="0"/>
    <n v="1"/>
    <n v="169134"/>
    <n v="1041"/>
    <s v="Interior"/>
    <x v="76"/>
    <n v="3"/>
    <n v="2024"/>
  </r>
  <r>
    <n v="105"/>
    <x v="73"/>
    <x v="4"/>
    <x v="0"/>
    <n v="10"/>
    <n v="80713"/>
    <n v="1031"/>
    <s v="GBA"/>
    <x v="77"/>
    <n v="6"/>
    <n v="2024"/>
  </r>
  <r>
    <n v="106"/>
    <x v="74"/>
    <x v="4"/>
    <x v="0"/>
    <n v="8"/>
    <n v="223335"/>
    <n v="1038"/>
    <s v="CABA"/>
    <x v="78"/>
    <n v="10"/>
    <n v="2024"/>
  </r>
  <r>
    <n v="109"/>
    <x v="63"/>
    <x v="3"/>
    <x v="0"/>
    <n v="3"/>
    <n v="168038"/>
    <n v="1035"/>
    <s v="GBA"/>
    <x v="79"/>
    <n v="2"/>
    <n v="2024"/>
  </r>
  <r>
    <n v="110"/>
    <x v="75"/>
    <x v="4"/>
    <x v="0"/>
    <n v="7"/>
    <n v="173383"/>
    <n v="1002"/>
    <s v="Interior"/>
    <x v="80"/>
    <n v="1"/>
    <n v="2024"/>
  </r>
  <r>
    <n v="111"/>
    <x v="25"/>
    <x v="5"/>
    <x v="0"/>
    <n v="2"/>
    <n v="298719"/>
    <n v="1072"/>
    <s v="CABA"/>
    <x v="81"/>
    <n v="5"/>
    <n v="2024"/>
  </r>
  <r>
    <n v="112"/>
    <x v="76"/>
    <x v="1"/>
    <x v="0"/>
    <n v="7"/>
    <n v="263722"/>
    <n v="1007"/>
    <s v="GBA"/>
    <x v="82"/>
    <n v="7"/>
    <n v="2024"/>
  </r>
  <r>
    <n v="113"/>
    <x v="77"/>
    <x v="4"/>
    <x v="0"/>
    <n v="9"/>
    <n v="137079"/>
    <n v="1096"/>
    <s v="GBA"/>
    <x v="83"/>
    <n v="11"/>
    <n v="2024"/>
  </r>
  <r>
    <n v="115"/>
    <x v="78"/>
    <x v="1"/>
    <x v="0"/>
    <n v="10"/>
    <n v="81242"/>
    <n v="1040"/>
    <s v="CABA"/>
    <x v="84"/>
    <n v="2"/>
    <n v="2024"/>
  </r>
  <r>
    <n v="116"/>
    <x v="79"/>
    <x v="0"/>
    <x v="0"/>
    <n v="5"/>
    <n v="183589"/>
    <n v="1067"/>
    <s v="CABA"/>
    <x v="85"/>
    <n v="2"/>
    <n v="2024"/>
  </r>
  <r>
    <n v="119"/>
    <x v="80"/>
    <x v="6"/>
    <x v="0"/>
    <n v="2"/>
    <n v="268579"/>
    <n v="1059"/>
    <s v="Interior"/>
    <x v="86"/>
    <n v="10"/>
    <n v="2024"/>
  </r>
  <r>
    <n v="120"/>
    <x v="81"/>
    <x v="1"/>
    <x v="0"/>
    <n v="6"/>
    <n v="234947"/>
    <n v="1001"/>
    <s v="CABA"/>
    <x v="87"/>
    <n v="4"/>
    <n v="2024"/>
  </r>
  <r>
    <n v="121"/>
    <x v="82"/>
    <x v="0"/>
    <x v="0"/>
    <n v="14"/>
    <n v="236758"/>
    <n v="1059"/>
    <s v="GBA"/>
    <x v="88"/>
    <n v="6"/>
    <n v="2024"/>
  </r>
  <r>
    <n v="122"/>
    <x v="83"/>
    <x v="2"/>
    <x v="0"/>
    <n v="6"/>
    <n v="96357"/>
    <n v="1004"/>
    <s v="Interior"/>
    <x v="89"/>
    <n v="12"/>
    <n v="2024"/>
  </r>
  <r>
    <n v="123"/>
    <x v="84"/>
    <x v="2"/>
    <x v="0"/>
    <n v="8"/>
    <n v="162732"/>
    <n v="1043"/>
    <s v="CABA"/>
    <x v="90"/>
    <n v="8"/>
    <n v="2024"/>
  </r>
  <r>
    <n v="124"/>
    <x v="38"/>
    <x v="3"/>
    <x v="0"/>
    <n v="12"/>
    <n v="208667"/>
    <n v="1026"/>
    <s v="GBA"/>
    <x v="91"/>
    <n v="2"/>
    <n v="2024"/>
  </r>
  <r>
    <n v="125"/>
    <x v="85"/>
    <x v="4"/>
    <x v="0"/>
    <n v="3"/>
    <n v="88807"/>
    <n v="1031"/>
    <s v="Interior"/>
    <x v="92"/>
    <n v="8"/>
    <n v="2024"/>
  </r>
  <r>
    <n v="127"/>
    <x v="23"/>
    <x v="4"/>
    <x v="0"/>
    <n v="14"/>
    <n v="263778"/>
    <n v="1007"/>
    <s v="GBA"/>
    <x v="93"/>
    <n v="5"/>
    <n v="2024"/>
  </r>
  <r>
    <n v="128"/>
    <x v="86"/>
    <x v="3"/>
    <x v="0"/>
    <n v="2"/>
    <n v="186264"/>
    <n v="1071"/>
    <s v="GBA"/>
    <x v="94"/>
    <n v="9"/>
    <n v="2024"/>
  </r>
  <r>
    <n v="129"/>
    <x v="87"/>
    <x v="2"/>
    <x v="0"/>
    <n v="9"/>
    <n v="78609"/>
    <n v="1049"/>
    <s v="GBA"/>
    <x v="95"/>
    <n v="1"/>
    <n v="2024"/>
  </r>
  <r>
    <n v="130"/>
    <x v="47"/>
    <x v="4"/>
    <x v="0"/>
    <n v="11"/>
    <n v="276221"/>
    <n v="1066"/>
    <s v="Interior"/>
    <x v="96"/>
    <n v="8"/>
    <n v="2024"/>
  </r>
  <r>
    <n v="131"/>
    <x v="88"/>
    <x v="2"/>
    <x v="0"/>
    <n v="8"/>
    <n v="253512"/>
    <n v="1043"/>
    <s v="Interior"/>
    <x v="97"/>
    <n v="9"/>
    <n v="2024"/>
  </r>
  <r>
    <n v="132"/>
    <x v="89"/>
    <x v="1"/>
    <x v="0"/>
    <n v="6"/>
    <n v="258973"/>
    <n v="1057"/>
    <s v="Interior"/>
    <x v="98"/>
    <n v="12"/>
    <n v="2024"/>
  </r>
  <r>
    <n v="134"/>
    <x v="90"/>
    <x v="5"/>
    <x v="0"/>
    <n v="9"/>
    <n v="159893"/>
    <n v="1085"/>
    <s v="Interior"/>
    <x v="99"/>
    <n v="7"/>
    <n v="2024"/>
  </r>
  <r>
    <n v="138"/>
    <x v="91"/>
    <x v="6"/>
    <x v="0"/>
    <n v="5"/>
    <n v="82475"/>
    <n v="1043"/>
    <s v="CABA"/>
    <x v="100"/>
    <n v="6"/>
    <n v="2024"/>
  </r>
  <r>
    <n v="139"/>
    <x v="71"/>
    <x v="6"/>
    <x v="0"/>
    <n v="5"/>
    <n v="157499"/>
    <n v="1001"/>
    <s v="GBA"/>
    <x v="101"/>
    <n v="3"/>
    <n v="2024"/>
  </r>
  <r>
    <n v="140"/>
    <x v="92"/>
    <x v="1"/>
    <x v="0"/>
    <n v="8"/>
    <n v="294227"/>
    <n v="1080"/>
    <s v="GBA"/>
    <x v="102"/>
    <n v="12"/>
    <n v="2024"/>
  </r>
  <r>
    <n v="141"/>
    <x v="93"/>
    <x v="7"/>
    <x v="1"/>
    <n v="6"/>
    <n v="223118"/>
    <n v="1034"/>
    <s v="GBA"/>
    <x v="103"/>
    <n v="8"/>
    <n v="2024"/>
  </r>
  <r>
    <n v="142"/>
    <x v="94"/>
    <x v="1"/>
    <x v="0"/>
    <n v="2"/>
    <n v="128786"/>
    <n v="1097"/>
    <s v="CABA"/>
    <x v="104"/>
    <n v="8"/>
    <n v="2024"/>
  </r>
  <r>
    <n v="143"/>
    <x v="95"/>
    <x v="6"/>
    <x v="0"/>
    <n v="11"/>
    <n v="12813"/>
    <n v="1086"/>
    <s v="Interior"/>
    <x v="105"/>
    <n v="2"/>
    <n v="2024"/>
  </r>
  <r>
    <n v="145"/>
    <x v="96"/>
    <x v="3"/>
    <x v="0"/>
    <n v="2"/>
    <n v="262951"/>
    <n v="1007"/>
    <s v="CABA"/>
    <x v="106"/>
    <n v="8"/>
    <n v="2024"/>
  </r>
  <r>
    <n v="146"/>
    <x v="93"/>
    <x v="1"/>
    <x v="0"/>
    <n v="2"/>
    <n v="98106"/>
    <n v="1021"/>
    <s v="GBA"/>
    <x v="107"/>
    <n v="8"/>
    <n v="2024"/>
  </r>
  <r>
    <n v="147"/>
    <x v="58"/>
    <x v="2"/>
    <x v="0"/>
    <n v="11"/>
    <n v="294226"/>
    <n v="1043"/>
    <s v="Interior"/>
    <x v="108"/>
    <n v="8"/>
    <n v="2024"/>
  </r>
  <r>
    <n v="148"/>
    <x v="97"/>
    <x v="3"/>
    <x v="0"/>
    <n v="1"/>
    <n v="296385"/>
    <n v="1057"/>
    <s v="CABA"/>
    <x v="109"/>
    <n v="5"/>
    <n v="2024"/>
  </r>
  <r>
    <n v="149"/>
    <x v="98"/>
    <x v="3"/>
    <x v="0"/>
    <n v="10"/>
    <n v="232286"/>
    <n v="1035"/>
    <s v="Interior"/>
    <x v="110"/>
    <n v="6"/>
    <n v="2024"/>
  </r>
  <r>
    <n v="150"/>
    <x v="99"/>
    <x v="6"/>
    <x v="0"/>
    <n v="7"/>
    <n v="16745"/>
    <n v="1068"/>
    <s v="CABA"/>
    <x v="111"/>
    <n v="1"/>
    <n v="2024"/>
  </r>
  <r>
    <n v="151"/>
    <x v="100"/>
    <x v="1"/>
    <x v="0"/>
    <n v="5"/>
    <n v="293173"/>
    <n v="1076"/>
    <s v="GBA"/>
    <x v="112"/>
    <n v="2"/>
    <n v="2024"/>
  </r>
  <r>
    <n v="152"/>
    <x v="101"/>
    <x v="4"/>
    <x v="0"/>
    <n v="5"/>
    <n v="149097"/>
    <n v="1092"/>
    <s v="Interior"/>
    <x v="113"/>
    <n v="1"/>
    <n v="2024"/>
  </r>
  <r>
    <n v="153"/>
    <x v="102"/>
    <x v="5"/>
    <x v="0"/>
    <n v="4"/>
    <n v="237732"/>
    <n v="1030"/>
    <s v="CABA"/>
    <x v="114"/>
    <n v="6"/>
    <n v="2024"/>
  </r>
  <r>
    <n v="154"/>
    <x v="67"/>
    <x v="6"/>
    <x v="0"/>
    <n v="5"/>
    <n v="150360"/>
    <n v="1046"/>
    <s v="Interior"/>
    <x v="115"/>
    <n v="11"/>
    <n v="2024"/>
  </r>
  <r>
    <n v="155"/>
    <x v="103"/>
    <x v="6"/>
    <x v="0"/>
    <n v="11"/>
    <n v="94186"/>
    <n v="1054"/>
    <s v="Interior"/>
    <x v="116"/>
    <n v="7"/>
    <n v="2024"/>
  </r>
  <r>
    <n v="156"/>
    <x v="104"/>
    <x v="4"/>
    <x v="0"/>
    <n v="3"/>
    <n v="218030"/>
    <n v="1079"/>
    <s v="Interior"/>
    <x v="117"/>
    <n v="8"/>
    <n v="2024"/>
  </r>
  <r>
    <n v="158"/>
    <x v="105"/>
    <x v="2"/>
    <x v="0"/>
    <n v="12"/>
    <n v="46846"/>
    <n v="1029"/>
    <s v="CABA"/>
    <x v="118"/>
    <n v="10"/>
    <n v="2024"/>
  </r>
  <r>
    <n v="160"/>
    <x v="14"/>
    <x v="1"/>
    <x v="0"/>
    <n v="14"/>
    <n v="290555"/>
    <n v="1015"/>
    <s v="CABA"/>
    <x v="119"/>
    <n v="6"/>
    <n v="2024"/>
  </r>
  <r>
    <n v="162"/>
    <x v="106"/>
    <x v="2"/>
    <x v="0"/>
    <n v="12"/>
    <n v="57930"/>
    <n v="1016"/>
    <s v="CABA"/>
    <x v="120"/>
    <n v="3"/>
    <n v="2024"/>
  </r>
  <r>
    <n v="164"/>
    <x v="105"/>
    <x v="6"/>
    <x v="0"/>
    <n v="11"/>
    <n v="249459"/>
    <n v="1011"/>
    <s v="Interior"/>
    <x v="121"/>
    <n v="10"/>
    <n v="2024"/>
  </r>
  <r>
    <n v="165"/>
    <x v="75"/>
    <x v="5"/>
    <x v="0"/>
    <n v="5"/>
    <n v="229695"/>
    <n v="1007"/>
    <s v="Interior"/>
    <x v="122"/>
    <n v="1"/>
    <n v="2024"/>
  </r>
  <r>
    <n v="166"/>
    <x v="107"/>
    <x v="6"/>
    <x v="0"/>
    <n v="5"/>
    <n v="58268"/>
    <n v="1083"/>
    <s v="Interior"/>
    <x v="123"/>
    <n v="4"/>
    <n v="2024"/>
  </r>
  <r>
    <n v="167"/>
    <x v="48"/>
    <x v="3"/>
    <x v="0"/>
    <n v="4"/>
    <n v="217943"/>
    <n v="1002"/>
    <s v="GBA"/>
    <x v="124"/>
    <n v="2"/>
    <n v="2024"/>
  </r>
  <r>
    <n v="168"/>
    <x v="35"/>
    <x v="6"/>
    <x v="0"/>
    <n v="3"/>
    <n v="263916"/>
    <n v="1015"/>
    <s v="Interior"/>
    <x v="125"/>
    <n v="12"/>
    <n v="2024"/>
  </r>
  <r>
    <n v="169"/>
    <x v="108"/>
    <x v="6"/>
    <x v="0"/>
    <n v="3"/>
    <n v="189403"/>
    <n v="1029"/>
    <s v="GBA"/>
    <x v="126"/>
    <n v="10"/>
    <n v="2024"/>
  </r>
  <r>
    <n v="171"/>
    <x v="109"/>
    <x v="2"/>
    <x v="0"/>
    <n v="4"/>
    <n v="199488"/>
    <n v="1091"/>
    <s v="Interior"/>
    <x v="127"/>
    <n v="5"/>
    <n v="2024"/>
  </r>
  <r>
    <n v="172"/>
    <x v="110"/>
    <x v="2"/>
    <x v="0"/>
    <n v="5"/>
    <n v="168268"/>
    <n v="1004"/>
    <s v="CABA"/>
    <x v="128"/>
    <n v="12"/>
    <n v="2024"/>
  </r>
  <r>
    <n v="173"/>
    <x v="93"/>
    <x v="7"/>
    <x v="1"/>
    <n v="7"/>
    <n v="272770"/>
    <n v="1083"/>
    <s v="GBA"/>
    <x v="129"/>
    <n v="8"/>
    <n v="2024"/>
  </r>
  <r>
    <n v="174"/>
    <x v="54"/>
    <x v="3"/>
    <x v="0"/>
    <n v="12"/>
    <n v="143496"/>
    <n v="1064"/>
    <s v="CABA"/>
    <x v="130"/>
    <n v="7"/>
    <n v="2024"/>
  </r>
  <r>
    <n v="175"/>
    <x v="111"/>
    <x v="0"/>
    <x v="0"/>
    <n v="12"/>
    <n v="280001"/>
    <n v="1029"/>
    <s v="CABA"/>
    <x v="131"/>
    <n v="8"/>
    <n v="2024"/>
  </r>
  <r>
    <n v="177"/>
    <x v="112"/>
    <x v="2"/>
    <x v="0"/>
    <n v="4"/>
    <n v="251693"/>
    <n v="1083"/>
    <s v="GBA"/>
    <x v="132"/>
    <n v="4"/>
    <n v="2024"/>
  </r>
  <r>
    <n v="178"/>
    <x v="113"/>
    <x v="5"/>
    <x v="0"/>
    <n v="1"/>
    <n v="184362"/>
    <n v="1069"/>
    <s v="GBA"/>
    <x v="133"/>
    <n v="4"/>
    <n v="2024"/>
  </r>
  <r>
    <n v="179"/>
    <x v="114"/>
    <x v="7"/>
    <x v="1"/>
    <n v="3"/>
    <n v="31431"/>
    <n v="1021"/>
    <s v="Interior"/>
    <x v="134"/>
    <n v="8"/>
    <n v="2024"/>
  </r>
  <r>
    <n v="181"/>
    <x v="89"/>
    <x v="5"/>
    <x v="0"/>
    <n v="2"/>
    <n v="31385"/>
    <n v="1071"/>
    <s v="Interior"/>
    <x v="135"/>
    <n v="12"/>
    <n v="2024"/>
  </r>
  <r>
    <n v="183"/>
    <x v="115"/>
    <x v="1"/>
    <x v="0"/>
    <n v="1"/>
    <n v="90530"/>
    <n v="1032"/>
    <s v="GBA"/>
    <x v="136"/>
    <n v="5"/>
    <n v="2024"/>
  </r>
  <r>
    <n v="185"/>
    <x v="116"/>
    <x v="2"/>
    <x v="0"/>
    <n v="7"/>
    <n v="288707"/>
    <n v="1075"/>
    <s v="GBA"/>
    <x v="137"/>
    <n v="6"/>
    <n v="2024"/>
  </r>
  <r>
    <n v="186"/>
    <x v="111"/>
    <x v="4"/>
    <x v="0"/>
    <n v="2"/>
    <n v="210390"/>
    <n v="1037"/>
    <s v="CABA"/>
    <x v="138"/>
    <n v="8"/>
    <n v="2024"/>
  </r>
  <r>
    <n v="187"/>
    <x v="24"/>
    <x v="4"/>
    <x v="0"/>
    <n v="7"/>
    <n v="248373"/>
    <n v="1097"/>
    <s v="GBA"/>
    <x v="139"/>
    <n v="11"/>
    <n v="2024"/>
  </r>
  <r>
    <n v="189"/>
    <x v="82"/>
    <x v="4"/>
    <x v="0"/>
    <n v="3"/>
    <n v="175182"/>
    <n v="1035"/>
    <s v="Interior"/>
    <x v="140"/>
    <n v="6"/>
    <n v="2024"/>
  </r>
  <r>
    <n v="190"/>
    <x v="117"/>
    <x v="1"/>
    <x v="0"/>
    <n v="10"/>
    <n v="197860"/>
    <n v="1096"/>
    <s v="CABA"/>
    <x v="141"/>
    <n v="5"/>
    <n v="2024"/>
  </r>
  <r>
    <n v="191"/>
    <x v="118"/>
    <x v="3"/>
    <x v="0"/>
    <n v="12"/>
    <n v="87879"/>
    <n v="1022"/>
    <s v="Interior"/>
    <x v="142"/>
    <n v="11"/>
    <n v="2024"/>
  </r>
  <r>
    <n v="192"/>
    <x v="102"/>
    <x v="2"/>
    <x v="0"/>
    <n v="1"/>
    <n v="243260"/>
    <n v="1065"/>
    <s v="CABA"/>
    <x v="143"/>
    <n v="6"/>
    <n v="2024"/>
  </r>
  <r>
    <n v="193"/>
    <x v="119"/>
    <x v="4"/>
    <x v="0"/>
    <n v="10"/>
    <n v="151323"/>
    <n v="1084"/>
    <s v="Interior"/>
    <x v="144"/>
    <n v="4"/>
    <n v="2024"/>
  </r>
  <r>
    <n v="194"/>
    <x v="114"/>
    <x v="7"/>
    <x v="1"/>
    <n v="12"/>
    <n v="127413"/>
    <n v="1001"/>
    <s v="GBA"/>
    <x v="145"/>
    <n v="8"/>
    <n v="2024"/>
  </r>
  <r>
    <n v="195"/>
    <x v="120"/>
    <x v="1"/>
    <x v="0"/>
    <n v="5"/>
    <n v="267670"/>
    <n v="1090"/>
    <s v="Interior"/>
    <x v="146"/>
    <n v="6"/>
    <n v="2024"/>
  </r>
  <r>
    <n v="196"/>
    <x v="121"/>
    <x v="3"/>
    <x v="0"/>
    <n v="2"/>
    <n v="52837"/>
    <n v="1072"/>
    <s v="GBA"/>
    <x v="147"/>
    <n v="4"/>
    <n v="2024"/>
  </r>
  <r>
    <n v="197"/>
    <x v="122"/>
    <x v="6"/>
    <x v="0"/>
    <n v="12"/>
    <n v="265550"/>
    <n v="1064"/>
    <s v="GBA"/>
    <x v="148"/>
    <n v="11"/>
    <n v="2024"/>
  </r>
  <r>
    <n v="198"/>
    <x v="95"/>
    <x v="6"/>
    <x v="0"/>
    <n v="1"/>
    <n v="278680"/>
    <n v="1074"/>
    <s v="Interior"/>
    <x v="149"/>
    <n v="2"/>
    <n v="2024"/>
  </r>
  <r>
    <n v="199"/>
    <x v="123"/>
    <x v="3"/>
    <x v="0"/>
    <n v="9"/>
    <n v="33541"/>
    <n v="1066"/>
    <s v="CABA"/>
    <x v="150"/>
    <n v="9"/>
    <n v="2024"/>
  </r>
  <r>
    <n v="200"/>
    <x v="124"/>
    <x v="1"/>
    <x v="0"/>
    <n v="10"/>
    <n v="84083"/>
    <n v="1051"/>
    <s v="CABA"/>
    <x v="151"/>
    <n v="10"/>
    <n v="2024"/>
  </r>
  <r>
    <n v="202"/>
    <x v="125"/>
    <x v="3"/>
    <x v="0"/>
    <n v="1"/>
    <n v="275856"/>
    <n v="1022"/>
    <s v="CABA"/>
    <x v="152"/>
    <n v="4"/>
    <n v="2024"/>
  </r>
  <r>
    <n v="203"/>
    <x v="121"/>
    <x v="2"/>
    <x v="0"/>
    <n v="1"/>
    <n v="79744"/>
    <n v="1025"/>
    <s v="CABA"/>
    <x v="153"/>
    <n v="4"/>
    <n v="2024"/>
  </r>
  <r>
    <n v="204"/>
    <x v="40"/>
    <x v="2"/>
    <x v="0"/>
    <n v="8"/>
    <n v="257859"/>
    <n v="1067"/>
    <s v="GBA"/>
    <x v="154"/>
    <n v="3"/>
    <n v="2024"/>
  </r>
  <r>
    <n v="205"/>
    <x v="103"/>
    <x v="6"/>
    <x v="0"/>
    <n v="2"/>
    <n v="134749"/>
    <n v="1081"/>
    <s v="CABA"/>
    <x v="155"/>
    <n v="7"/>
    <n v="2024"/>
  </r>
  <r>
    <n v="206"/>
    <x v="121"/>
    <x v="4"/>
    <x v="0"/>
    <n v="8"/>
    <n v="272253"/>
    <n v="1054"/>
    <s v="GBA"/>
    <x v="156"/>
    <n v="4"/>
    <n v="2024"/>
  </r>
  <r>
    <n v="207"/>
    <x v="42"/>
    <x v="7"/>
    <x v="1"/>
    <n v="7"/>
    <n v="236809"/>
    <n v="1005"/>
    <s v="GBA"/>
    <x v="157"/>
    <n v="1"/>
    <n v="2024"/>
  </r>
  <r>
    <n v="208"/>
    <x v="126"/>
    <x v="6"/>
    <x v="0"/>
    <n v="5"/>
    <n v="87503"/>
    <n v="1034"/>
    <s v="GBA"/>
    <x v="158"/>
    <n v="5"/>
    <n v="2024"/>
  </r>
  <r>
    <n v="209"/>
    <x v="127"/>
    <x v="4"/>
    <x v="0"/>
    <n v="3"/>
    <n v="259346"/>
    <n v="1021"/>
    <s v="Interior"/>
    <x v="159"/>
    <n v="8"/>
    <n v="2024"/>
  </r>
  <r>
    <n v="210"/>
    <x v="43"/>
    <x v="4"/>
    <x v="0"/>
    <n v="3"/>
    <n v="90708"/>
    <n v="1042"/>
    <s v="Interior"/>
    <x v="160"/>
    <n v="2"/>
    <n v="2024"/>
  </r>
  <r>
    <n v="211"/>
    <x v="128"/>
    <x v="0"/>
    <x v="0"/>
    <n v="5"/>
    <n v="196184"/>
    <n v="1014"/>
    <s v="GBA"/>
    <x v="161"/>
    <n v="12"/>
    <n v="2024"/>
  </r>
  <r>
    <n v="212"/>
    <x v="129"/>
    <x v="2"/>
    <x v="0"/>
    <n v="12"/>
    <n v="107471"/>
    <n v="1085"/>
    <s v="Interior"/>
    <x v="162"/>
    <n v="8"/>
    <n v="2024"/>
  </r>
  <r>
    <n v="213"/>
    <x v="111"/>
    <x v="1"/>
    <x v="0"/>
    <n v="11"/>
    <n v="259225"/>
    <n v="1059"/>
    <s v="CABA"/>
    <x v="163"/>
    <n v="8"/>
    <n v="2024"/>
  </r>
  <r>
    <n v="214"/>
    <x v="130"/>
    <x v="5"/>
    <x v="0"/>
    <n v="8"/>
    <n v="162661"/>
    <n v="1011"/>
    <s v="CABA"/>
    <x v="164"/>
    <n v="5"/>
    <n v="2024"/>
  </r>
  <r>
    <n v="215"/>
    <x v="126"/>
    <x v="1"/>
    <x v="0"/>
    <n v="9"/>
    <n v="166087"/>
    <n v="1048"/>
    <s v="GBA"/>
    <x v="165"/>
    <n v="5"/>
    <n v="2024"/>
  </r>
  <r>
    <n v="216"/>
    <x v="34"/>
    <x v="5"/>
    <x v="0"/>
    <n v="10"/>
    <n v="165081"/>
    <n v="1041"/>
    <s v="CABA"/>
    <x v="166"/>
    <n v="2"/>
    <n v="2024"/>
  </r>
  <r>
    <n v="217"/>
    <x v="82"/>
    <x v="3"/>
    <x v="0"/>
    <n v="5"/>
    <n v="198118"/>
    <n v="1037"/>
    <s v="GBA"/>
    <x v="167"/>
    <n v="6"/>
    <n v="2024"/>
  </r>
  <r>
    <n v="219"/>
    <x v="102"/>
    <x v="4"/>
    <x v="0"/>
    <n v="12"/>
    <n v="11154"/>
    <n v="1044"/>
    <s v="CABA"/>
    <x v="168"/>
    <n v="6"/>
    <n v="2024"/>
  </r>
  <r>
    <n v="220"/>
    <x v="131"/>
    <x v="7"/>
    <x v="1"/>
    <n v="5"/>
    <n v="157876"/>
    <n v="1034"/>
    <s v="Interior"/>
    <x v="169"/>
    <n v="7"/>
    <n v="2024"/>
  </r>
  <r>
    <n v="221"/>
    <x v="132"/>
    <x v="5"/>
    <x v="0"/>
    <n v="8"/>
    <n v="69288"/>
    <n v="1029"/>
    <s v="CABA"/>
    <x v="170"/>
    <n v="9"/>
    <n v="2024"/>
  </r>
  <r>
    <n v="222"/>
    <x v="133"/>
    <x v="1"/>
    <x v="0"/>
    <n v="9"/>
    <n v="56195"/>
    <n v="1087"/>
    <s v="CABA"/>
    <x v="171"/>
    <n v="11"/>
    <n v="2024"/>
  </r>
  <r>
    <n v="223"/>
    <x v="134"/>
    <x v="4"/>
    <x v="0"/>
    <n v="9"/>
    <n v="287725"/>
    <n v="1029"/>
    <s v="GBA"/>
    <x v="172"/>
    <n v="7"/>
    <n v="2024"/>
  </r>
  <r>
    <n v="224"/>
    <x v="135"/>
    <x v="5"/>
    <x v="0"/>
    <n v="1"/>
    <n v="297231"/>
    <n v="1077"/>
    <s v="GBA"/>
    <x v="173"/>
    <n v="7"/>
    <n v="2024"/>
  </r>
  <r>
    <n v="225"/>
    <x v="136"/>
    <x v="5"/>
    <x v="0"/>
    <n v="13"/>
    <n v="186002"/>
    <n v="1005"/>
    <s v="GBA"/>
    <x v="174"/>
    <n v="5"/>
    <n v="2024"/>
  </r>
  <r>
    <n v="226"/>
    <x v="88"/>
    <x v="0"/>
    <x v="0"/>
    <n v="1"/>
    <n v="169053"/>
    <n v="1066"/>
    <s v="GBA"/>
    <x v="175"/>
    <n v="9"/>
    <n v="2024"/>
  </r>
  <r>
    <n v="227"/>
    <x v="5"/>
    <x v="5"/>
    <x v="0"/>
    <n v="2"/>
    <n v="74298"/>
    <n v="1079"/>
    <s v="Interior"/>
    <x v="176"/>
    <n v="10"/>
    <n v="2024"/>
  </r>
  <r>
    <n v="228"/>
    <x v="60"/>
    <x v="7"/>
    <x v="1"/>
    <n v="2"/>
    <n v="211376"/>
    <n v="1006"/>
    <s v="Interior"/>
    <x v="177"/>
    <n v="10"/>
    <n v="2024"/>
  </r>
  <r>
    <n v="229"/>
    <x v="137"/>
    <x v="2"/>
    <x v="0"/>
    <n v="5"/>
    <n v="44499"/>
    <n v="1051"/>
    <s v="Interior"/>
    <x v="178"/>
    <n v="11"/>
    <n v="2024"/>
  </r>
  <r>
    <n v="230"/>
    <x v="138"/>
    <x v="7"/>
    <x v="1"/>
    <n v="7"/>
    <n v="174631"/>
    <n v="1013"/>
    <s v="GBA"/>
    <x v="179"/>
    <n v="4"/>
    <n v="2024"/>
  </r>
  <r>
    <n v="231"/>
    <x v="131"/>
    <x v="6"/>
    <x v="0"/>
    <n v="14"/>
    <n v="250198"/>
    <n v="1072"/>
    <s v="GBA"/>
    <x v="180"/>
    <n v="7"/>
    <n v="2024"/>
  </r>
  <r>
    <n v="232"/>
    <x v="139"/>
    <x v="4"/>
    <x v="0"/>
    <n v="6"/>
    <n v="247997"/>
    <n v="1014"/>
    <s v="GBA"/>
    <x v="181"/>
    <n v="8"/>
    <n v="2024"/>
  </r>
  <r>
    <n v="233"/>
    <x v="140"/>
    <x v="2"/>
    <x v="0"/>
    <n v="11"/>
    <n v="101347"/>
    <n v="1020"/>
    <s v="Interior"/>
    <x v="182"/>
    <n v="5"/>
    <n v="2024"/>
  </r>
  <r>
    <n v="234"/>
    <x v="141"/>
    <x v="0"/>
    <x v="0"/>
    <n v="5"/>
    <n v="210735"/>
    <n v="1034"/>
    <s v="GBA"/>
    <x v="183"/>
    <n v="4"/>
    <n v="2024"/>
  </r>
  <r>
    <n v="235"/>
    <x v="76"/>
    <x v="2"/>
    <x v="0"/>
    <n v="6"/>
    <n v="27431"/>
    <n v="1065"/>
    <s v="CABA"/>
    <x v="184"/>
    <n v="7"/>
    <n v="2024"/>
  </r>
  <r>
    <n v="236"/>
    <x v="142"/>
    <x v="2"/>
    <x v="0"/>
    <n v="8"/>
    <n v="199555"/>
    <n v="1090"/>
    <s v="CABA"/>
    <x v="185"/>
    <n v="5"/>
    <n v="2024"/>
  </r>
  <r>
    <n v="238"/>
    <x v="143"/>
    <x v="2"/>
    <x v="0"/>
    <n v="11"/>
    <n v="54153"/>
    <n v="1034"/>
    <s v="CABA"/>
    <x v="186"/>
    <n v="11"/>
    <n v="2024"/>
  </r>
  <r>
    <n v="239"/>
    <x v="1"/>
    <x v="0"/>
    <x v="0"/>
    <n v="2"/>
    <n v="273512"/>
    <n v="1081"/>
    <s v="CABA"/>
    <x v="187"/>
    <n v="12"/>
    <n v="2024"/>
  </r>
  <r>
    <n v="240"/>
    <x v="144"/>
    <x v="7"/>
    <x v="1"/>
    <n v="11"/>
    <n v="181076"/>
    <n v="1077"/>
    <s v="Interior"/>
    <x v="188"/>
    <n v="9"/>
    <n v="2024"/>
  </r>
  <r>
    <n v="241"/>
    <x v="145"/>
    <x v="2"/>
    <x v="0"/>
    <n v="1"/>
    <n v="224724"/>
    <n v="1019"/>
    <s v="GBA"/>
    <x v="189"/>
    <n v="5"/>
    <n v="2024"/>
  </r>
  <r>
    <n v="243"/>
    <x v="33"/>
    <x v="4"/>
    <x v="0"/>
    <n v="5"/>
    <n v="113737"/>
    <n v="1009"/>
    <s v="Interior"/>
    <x v="190"/>
    <n v="12"/>
    <n v="2024"/>
  </r>
  <r>
    <n v="244"/>
    <x v="146"/>
    <x v="2"/>
    <x v="0"/>
    <n v="12"/>
    <n v="217133"/>
    <n v="1024"/>
    <s v="CABA"/>
    <x v="191"/>
    <n v="5"/>
    <n v="2024"/>
  </r>
  <r>
    <n v="245"/>
    <x v="145"/>
    <x v="4"/>
    <x v="0"/>
    <n v="12"/>
    <n v="159470"/>
    <n v="1065"/>
    <s v="CABA"/>
    <x v="192"/>
    <n v="5"/>
    <n v="2024"/>
  </r>
  <r>
    <n v="246"/>
    <x v="92"/>
    <x v="3"/>
    <x v="0"/>
    <n v="6"/>
    <n v="234465"/>
    <n v="1024"/>
    <s v="GBA"/>
    <x v="193"/>
    <n v="12"/>
    <n v="2024"/>
  </r>
  <r>
    <n v="247"/>
    <x v="147"/>
    <x v="3"/>
    <x v="0"/>
    <n v="6"/>
    <n v="55861"/>
    <n v="1053"/>
    <s v="CABA"/>
    <x v="194"/>
    <n v="7"/>
    <n v="2024"/>
  </r>
  <r>
    <n v="248"/>
    <x v="148"/>
    <x v="4"/>
    <x v="0"/>
    <n v="7"/>
    <n v="217977"/>
    <n v="1032"/>
    <s v="Interior"/>
    <x v="195"/>
    <n v="11"/>
    <n v="2024"/>
  </r>
  <r>
    <n v="249"/>
    <x v="109"/>
    <x v="5"/>
    <x v="0"/>
    <n v="6"/>
    <n v="132118"/>
    <n v="1035"/>
    <s v="Interior"/>
    <x v="196"/>
    <n v="5"/>
    <n v="2024"/>
  </r>
  <r>
    <n v="251"/>
    <x v="59"/>
    <x v="1"/>
    <x v="0"/>
    <n v="8"/>
    <n v="14078"/>
    <n v="1013"/>
    <s v="Interior"/>
    <x v="197"/>
    <n v="12"/>
    <n v="2024"/>
  </r>
  <r>
    <n v="252"/>
    <x v="83"/>
    <x v="5"/>
    <x v="0"/>
    <n v="3"/>
    <n v="56047"/>
    <n v="1064"/>
    <s v="Interior"/>
    <x v="198"/>
    <n v="12"/>
    <n v="2024"/>
  </r>
  <r>
    <n v="254"/>
    <x v="149"/>
    <x v="7"/>
    <x v="1"/>
    <n v="4"/>
    <n v="220048"/>
    <n v="1053"/>
    <s v="Interior"/>
    <x v="199"/>
    <n v="9"/>
    <n v="2024"/>
  </r>
  <r>
    <n v="256"/>
    <x v="150"/>
    <x v="1"/>
    <x v="0"/>
    <n v="14"/>
    <n v="122832"/>
    <n v="1002"/>
    <s v="Interior"/>
    <x v="200"/>
    <n v="10"/>
    <n v="2024"/>
  </r>
  <r>
    <n v="257"/>
    <x v="81"/>
    <x v="5"/>
    <x v="0"/>
    <n v="8"/>
    <n v="130150"/>
    <n v="1098"/>
    <s v="CABA"/>
    <x v="201"/>
    <n v="4"/>
    <n v="2024"/>
  </r>
  <r>
    <n v="258"/>
    <x v="151"/>
    <x v="2"/>
    <x v="0"/>
    <n v="9"/>
    <n v="162087"/>
    <n v="1040"/>
    <s v="GBA"/>
    <x v="202"/>
    <n v="9"/>
    <n v="2024"/>
  </r>
  <r>
    <n v="259"/>
    <x v="62"/>
    <x v="7"/>
    <x v="1"/>
    <n v="4"/>
    <n v="38320"/>
    <n v="1005"/>
    <s v="GBA"/>
    <x v="203"/>
    <n v="9"/>
    <n v="2024"/>
  </r>
  <r>
    <n v="260"/>
    <x v="140"/>
    <x v="7"/>
    <x v="1"/>
    <n v="3"/>
    <n v="95827"/>
    <n v="1024"/>
    <s v="GBA"/>
    <x v="204"/>
    <n v="5"/>
    <n v="2024"/>
  </r>
  <r>
    <n v="262"/>
    <x v="152"/>
    <x v="0"/>
    <x v="0"/>
    <n v="14"/>
    <n v="29826"/>
    <n v="1097"/>
    <s v="CABA"/>
    <x v="205"/>
    <n v="4"/>
    <n v="2024"/>
  </r>
  <r>
    <n v="263"/>
    <x v="153"/>
    <x v="1"/>
    <x v="0"/>
    <n v="8"/>
    <n v="105734"/>
    <n v="1007"/>
    <s v="GBA"/>
    <x v="206"/>
    <n v="2"/>
    <n v="2024"/>
  </r>
  <r>
    <n v="264"/>
    <x v="42"/>
    <x v="5"/>
    <x v="0"/>
    <n v="14"/>
    <n v="162702"/>
    <n v="1020"/>
    <s v="CABA"/>
    <x v="207"/>
    <n v="1"/>
    <n v="2024"/>
  </r>
  <r>
    <n v="265"/>
    <x v="52"/>
    <x v="3"/>
    <x v="0"/>
    <n v="4"/>
    <n v="234834"/>
    <n v="1097"/>
    <s v="GBA"/>
    <x v="208"/>
    <n v="10"/>
    <n v="2024"/>
  </r>
  <r>
    <n v="266"/>
    <x v="154"/>
    <x v="4"/>
    <x v="0"/>
    <n v="14"/>
    <n v="182235"/>
    <n v="1067"/>
    <s v="CABA"/>
    <x v="209"/>
    <n v="9"/>
    <n v="2024"/>
  </r>
  <r>
    <n v="267"/>
    <x v="155"/>
    <x v="6"/>
    <x v="0"/>
    <n v="6"/>
    <n v="103511"/>
    <n v="1024"/>
    <s v="Interior"/>
    <x v="210"/>
    <n v="5"/>
    <n v="2024"/>
  </r>
  <r>
    <n v="268"/>
    <x v="156"/>
    <x v="0"/>
    <x v="0"/>
    <n v="14"/>
    <n v="278797"/>
    <n v="1078"/>
    <s v="Interior"/>
    <x v="211"/>
    <n v="2"/>
    <n v="2024"/>
  </r>
  <r>
    <n v="269"/>
    <x v="102"/>
    <x v="0"/>
    <x v="0"/>
    <n v="5"/>
    <n v="164033"/>
    <n v="1067"/>
    <s v="GBA"/>
    <x v="212"/>
    <n v="6"/>
    <n v="2024"/>
  </r>
  <r>
    <n v="270"/>
    <x v="68"/>
    <x v="0"/>
    <x v="0"/>
    <n v="14"/>
    <n v="86941"/>
    <n v="1044"/>
    <s v="CABA"/>
    <x v="213"/>
    <n v="1"/>
    <n v="2024"/>
  </r>
  <r>
    <n v="271"/>
    <x v="114"/>
    <x v="7"/>
    <x v="1"/>
    <n v="4"/>
    <n v="210209"/>
    <n v="1059"/>
    <s v="CABA"/>
    <x v="214"/>
    <n v="8"/>
    <n v="2024"/>
  </r>
  <r>
    <n v="273"/>
    <x v="146"/>
    <x v="0"/>
    <x v="0"/>
    <n v="10"/>
    <n v="157360"/>
    <n v="1031"/>
    <s v="Interior"/>
    <x v="215"/>
    <n v="5"/>
    <n v="2024"/>
  </r>
  <r>
    <n v="274"/>
    <x v="52"/>
    <x v="4"/>
    <x v="0"/>
    <n v="14"/>
    <n v="258627"/>
    <n v="1095"/>
    <s v="CABA"/>
    <x v="216"/>
    <n v="10"/>
    <n v="2024"/>
  </r>
  <r>
    <n v="275"/>
    <x v="57"/>
    <x v="2"/>
    <x v="0"/>
    <n v="10"/>
    <n v="100081"/>
    <n v="1091"/>
    <s v="CABA"/>
    <x v="217"/>
    <n v="7"/>
    <n v="2024"/>
  </r>
  <r>
    <n v="276"/>
    <x v="23"/>
    <x v="0"/>
    <x v="0"/>
    <n v="13"/>
    <n v="41877"/>
    <n v="1012"/>
    <s v="CABA"/>
    <x v="218"/>
    <n v="5"/>
    <n v="2024"/>
  </r>
  <r>
    <n v="277"/>
    <x v="117"/>
    <x v="6"/>
    <x v="0"/>
    <n v="5"/>
    <n v="216957"/>
    <n v="1030"/>
    <s v="CABA"/>
    <x v="219"/>
    <n v="5"/>
    <n v="2024"/>
  </r>
  <r>
    <n v="279"/>
    <x v="157"/>
    <x v="4"/>
    <x v="0"/>
    <n v="11"/>
    <n v="146398"/>
    <n v="1019"/>
    <s v="CABA"/>
    <x v="220"/>
    <n v="4"/>
    <n v="2024"/>
  </r>
  <r>
    <n v="280"/>
    <x v="158"/>
    <x v="6"/>
    <x v="0"/>
    <n v="12"/>
    <n v="115091"/>
    <n v="1017"/>
    <s v="GBA"/>
    <x v="221"/>
    <n v="6"/>
    <n v="2024"/>
  </r>
  <r>
    <n v="282"/>
    <x v="159"/>
    <x v="6"/>
    <x v="0"/>
    <n v="14"/>
    <n v="88186"/>
    <n v="1059"/>
    <s v="Interior"/>
    <x v="222"/>
    <n v="3"/>
    <n v="2024"/>
  </r>
  <r>
    <n v="283"/>
    <x v="121"/>
    <x v="4"/>
    <x v="0"/>
    <n v="3"/>
    <n v="167962"/>
    <n v="1062"/>
    <s v="GBA"/>
    <x v="223"/>
    <n v="4"/>
    <n v="2024"/>
  </r>
  <r>
    <n v="284"/>
    <x v="160"/>
    <x v="6"/>
    <x v="0"/>
    <n v="1"/>
    <n v="156094"/>
    <n v="1005"/>
    <s v="CABA"/>
    <x v="224"/>
    <n v="4"/>
    <n v="2024"/>
  </r>
  <r>
    <n v="286"/>
    <x v="154"/>
    <x v="4"/>
    <x v="0"/>
    <n v="5"/>
    <n v="33380"/>
    <n v="1092"/>
    <s v="GBA"/>
    <x v="225"/>
    <n v="9"/>
    <n v="2024"/>
  </r>
  <r>
    <n v="287"/>
    <x v="85"/>
    <x v="2"/>
    <x v="0"/>
    <n v="4"/>
    <n v="115198"/>
    <n v="1042"/>
    <s v="Interior"/>
    <x v="226"/>
    <n v="8"/>
    <n v="2024"/>
  </r>
  <r>
    <n v="289"/>
    <x v="81"/>
    <x v="4"/>
    <x v="0"/>
    <n v="7"/>
    <n v="75326"/>
    <n v="1059"/>
    <s v="CABA"/>
    <x v="227"/>
    <n v="4"/>
    <n v="2024"/>
  </r>
  <r>
    <n v="290"/>
    <x v="161"/>
    <x v="0"/>
    <x v="0"/>
    <n v="7"/>
    <n v="119994"/>
    <n v="1022"/>
    <s v="CABA"/>
    <x v="228"/>
    <n v="6"/>
    <n v="2024"/>
  </r>
  <r>
    <n v="291"/>
    <x v="1"/>
    <x v="3"/>
    <x v="0"/>
    <n v="11"/>
    <n v="225971"/>
    <n v="1082"/>
    <s v="CABA"/>
    <x v="229"/>
    <n v="12"/>
    <n v="2024"/>
  </r>
  <r>
    <n v="294"/>
    <x v="162"/>
    <x v="5"/>
    <x v="0"/>
    <n v="4"/>
    <n v="267805"/>
    <n v="1082"/>
    <s v="Interior"/>
    <x v="230"/>
    <n v="7"/>
    <n v="2024"/>
  </r>
  <r>
    <n v="295"/>
    <x v="45"/>
    <x v="5"/>
    <x v="0"/>
    <n v="5"/>
    <n v="173484"/>
    <n v="1033"/>
    <s v="CABA"/>
    <x v="231"/>
    <n v="11"/>
    <n v="2024"/>
  </r>
  <r>
    <n v="298"/>
    <x v="163"/>
    <x v="4"/>
    <x v="0"/>
    <n v="5"/>
    <n v="276090"/>
    <n v="1001"/>
    <s v="CABA"/>
    <x v="232"/>
    <n v="6"/>
    <n v="2024"/>
  </r>
  <r>
    <n v="299"/>
    <x v="158"/>
    <x v="2"/>
    <x v="0"/>
    <n v="12"/>
    <n v="230314"/>
    <n v="1010"/>
    <s v="CABA"/>
    <x v="233"/>
    <n v="6"/>
    <n v="2024"/>
  </r>
  <r>
    <n v="300"/>
    <x v="164"/>
    <x v="4"/>
    <x v="0"/>
    <n v="2"/>
    <n v="240612"/>
    <n v="1049"/>
    <s v="GBA"/>
    <x v="234"/>
    <n v="3"/>
    <n v="2024"/>
  </r>
  <r>
    <n v="303"/>
    <x v="52"/>
    <x v="2"/>
    <x v="0"/>
    <n v="12"/>
    <n v="64321"/>
    <n v="1078"/>
    <s v="GBA"/>
    <x v="235"/>
    <n v="10"/>
    <n v="2024"/>
  </r>
  <r>
    <n v="304"/>
    <x v="25"/>
    <x v="7"/>
    <x v="1"/>
    <n v="5"/>
    <n v="137028"/>
    <n v="1072"/>
    <s v="GBA"/>
    <x v="236"/>
    <n v="5"/>
    <n v="2024"/>
  </r>
  <r>
    <n v="307"/>
    <x v="78"/>
    <x v="7"/>
    <x v="1"/>
    <n v="11"/>
    <n v="106757"/>
    <n v="1008"/>
    <s v="CABA"/>
    <x v="237"/>
    <n v="2"/>
    <n v="2024"/>
  </r>
  <r>
    <n v="308"/>
    <x v="165"/>
    <x v="6"/>
    <x v="0"/>
    <n v="11"/>
    <n v="271847"/>
    <n v="1098"/>
    <s v="CABA"/>
    <x v="238"/>
    <n v="6"/>
    <n v="2024"/>
  </r>
  <r>
    <n v="309"/>
    <x v="9"/>
    <x v="3"/>
    <x v="0"/>
    <n v="8"/>
    <n v="201200"/>
    <n v="1020"/>
    <s v="GBA"/>
    <x v="239"/>
    <n v="1"/>
    <n v="2024"/>
  </r>
  <r>
    <n v="310"/>
    <x v="166"/>
    <x v="0"/>
    <x v="0"/>
    <n v="13"/>
    <n v="77099"/>
    <n v="1072"/>
    <s v="GBA"/>
    <x v="240"/>
    <n v="8"/>
    <n v="2024"/>
  </r>
  <r>
    <n v="311"/>
    <x v="167"/>
    <x v="2"/>
    <x v="0"/>
    <n v="1"/>
    <n v="167932"/>
    <n v="1027"/>
    <s v="CABA"/>
    <x v="241"/>
    <n v="6"/>
    <n v="2024"/>
  </r>
  <r>
    <n v="312"/>
    <x v="168"/>
    <x v="1"/>
    <x v="0"/>
    <n v="2"/>
    <n v="36585"/>
    <n v="1061"/>
    <s v="GBA"/>
    <x v="242"/>
    <n v="2"/>
    <n v="2024"/>
  </r>
  <r>
    <n v="313"/>
    <x v="169"/>
    <x v="5"/>
    <x v="0"/>
    <n v="11"/>
    <n v="48585"/>
    <n v="1006"/>
    <s v="GBA"/>
    <x v="243"/>
    <n v="8"/>
    <n v="2024"/>
  </r>
  <r>
    <n v="314"/>
    <x v="170"/>
    <x v="6"/>
    <x v="0"/>
    <n v="13"/>
    <n v="294102"/>
    <n v="1079"/>
    <s v="GBA"/>
    <x v="244"/>
    <n v="12"/>
    <n v="2024"/>
  </r>
  <r>
    <n v="315"/>
    <x v="18"/>
    <x v="6"/>
    <x v="0"/>
    <n v="4"/>
    <n v="293161"/>
    <n v="1015"/>
    <s v="Interior"/>
    <x v="245"/>
    <n v="2"/>
    <n v="2024"/>
  </r>
  <r>
    <n v="316"/>
    <x v="37"/>
    <x v="0"/>
    <x v="0"/>
    <n v="7"/>
    <n v="296570"/>
    <n v="1096"/>
    <s v="CABA"/>
    <x v="246"/>
    <n v="9"/>
    <n v="2024"/>
  </r>
  <r>
    <n v="317"/>
    <x v="171"/>
    <x v="7"/>
    <x v="1"/>
    <n v="4"/>
    <n v="284922"/>
    <n v="1003"/>
    <s v="Interior"/>
    <x v="247"/>
    <n v="10"/>
    <n v="2024"/>
  </r>
  <r>
    <n v="319"/>
    <x v="172"/>
    <x v="3"/>
    <x v="0"/>
    <n v="13"/>
    <n v="47229"/>
    <n v="1039"/>
    <s v="Interior"/>
    <x v="248"/>
    <n v="8"/>
    <n v="2024"/>
  </r>
  <r>
    <n v="320"/>
    <x v="7"/>
    <x v="2"/>
    <x v="0"/>
    <n v="1"/>
    <n v="91652"/>
    <n v="1016"/>
    <s v="GBA"/>
    <x v="249"/>
    <n v="10"/>
    <n v="2024"/>
  </r>
  <r>
    <n v="323"/>
    <x v="105"/>
    <x v="0"/>
    <x v="0"/>
    <n v="12"/>
    <n v="265116"/>
    <n v="1051"/>
    <s v="Interior"/>
    <x v="250"/>
    <n v="10"/>
    <n v="2024"/>
  </r>
  <r>
    <n v="324"/>
    <x v="173"/>
    <x v="5"/>
    <x v="0"/>
    <n v="2"/>
    <n v="24975"/>
    <n v="1035"/>
    <s v="Interior"/>
    <x v="251"/>
    <n v="11"/>
    <n v="2024"/>
  </r>
  <r>
    <n v="325"/>
    <x v="52"/>
    <x v="7"/>
    <x v="1"/>
    <n v="8"/>
    <n v="162795"/>
    <n v="1037"/>
    <s v="Interior"/>
    <x v="252"/>
    <n v="10"/>
    <n v="2024"/>
  </r>
  <r>
    <n v="326"/>
    <x v="146"/>
    <x v="5"/>
    <x v="0"/>
    <n v="7"/>
    <n v="214373"/>
    <n v="1049"/>
    <s v="CABA"/>
    <x v="253"/>
    <n v="5"/>
    <n v="2024"/>
  </r>
  <r>
    <n v="329"/>
    <x v="6"/>
    <x v="1"/>
    <x v="0"/>
    <n v="9"/>
    <n v="294060"/>
    <n v="1061"/>
    <s v="GBA"/>
    <x v="254"/>
    <n v="7"/>
    <n v="2024"/>
  </r>
  <r>
    <n v="330"/>
    <x v="12"/>
    <x v="5"/>
    <x v="0"/>
    <n v="2"/>
    <n v="69324"/>
    <n v="1098"/>
    <s v="Interior"/>
    <x v="255"/>
    <n v="2"/>
    <n v="2024"/>
  </r>
  <r>
    <n v="331"/>
    <x v="174"/>
    <x v="3"/>
    <x v="0"/>
    <n v="2"/>
    <n v="181037"/>
    <n v="1006"/>
    <s v="GBA"/>
    <x v="256"/>
    <n v="1"/>
    <n v="2024"/>
  </r>
  <r>
    <n v="332"/>
    <x v="82"/>
    <x v="2"/>
    <x v="0"/>
    <n v="3"/>
    <n v="140720"/>
    <n v="1026"/>
    <s v="GBA"/>
    <x v="257"/>
    <n v="6"/>
    <n v="2024"/>
  </r>
  <r>
    <n v="333"/>
    <x v="127"/>
    <x v="6"/>
    <x v="0"/>
    <n v="6"/>
    <n v="171205"/>
    <n v="1091"/>
    <s v="Interior"/>
    <x v="258"/>
    <n v="8"/>
    <n v="2024"/>
  </r>
  <r>
    <n v="335"/>
    <x v="175"/>
    <x v="5"/>
    <x v="0"/>
    <n v="9"/>
    <n v="103317"/>
    <n v="1013"/>
    <s v="Interior"/>
    <x v="259"/>
    <n v="2"/>
    <n v="2024"/>
  </r>
  <r>
    <n v="337"/>
    <x v="81"/>
    <x v="3"/>
    <x v="0"/>
    <n v="9"/>
    <n v="106459"/>
    <n v="1085"/>
    <s v="GBA"/>
    <x v="260"/>
    <n v="4"/>
    <n v="2024"/>
  </r>
  <r>
    <n v="338"/>
    <x v="114"/>
    <x v="3"/>
    <x v="0"/>
    <n v="14"/>
    <n v="242697"/>
    <n v="1004"/>
    <s v="Interior"/>
    <x v="261"/>
    <n v="8"/>
    <n v="2024"/>
  </r>
  <r>
    <n v="339"/>
    <x v="156"/>
    <x v="5"/>
    <x v="0"/>
    <n v="7"/>
    <n v="205422"/>
    <n v="1054"/>
    <s v="CABA"/>
    <x v="262"/>
    <n v="2"/>
    <n v="2024"/>
  </r>
  <r>
    <n v="340"/>
    <x v="60"/>
    <x v="2"/>
    <x v="0"/>
    <n v="11"/>
    <n v="106520"/>
    <n v="1001"/>
    <s v="CABA"/>
    <x v="263"/>
    <n v="10"/>
    <n v="2024"/>
  </r>
  <r>
    <n v="341"/>
    <x v="1"/>
    <x v="5"/>
    <x v="0"/>
    <n v="14"/>
    <n v="66272"/>
    <n v="1061"/>
    <s v="GBA"/>
    <x v="264"/>
    <n v="12"/>
    <n v="2024"/>
  </r>
  <r>
    <n v="342"/>
    <x v="176"/>
    <x v="6"/>
    <x v="0"/>
    <n v="14"/>
    <n v="228224"/>
    <n v="1090"/>
    <s v="GBA"/>
    <x v="265"/>
    <n v="10"/>
    <n v="2024"/>
  </r>
  <r>
    <n v="343"/>
    <x v="177"/>
    <x v="5"/>
    <x v="0"/>
    <n v="11"/>
    <n v="149832"/>
    <n v="1020"/>
    <s v="CABA"/>
    <x v="266"/>
    <n v="6"/>
    <n v="2024"/>
  </r>
  <r>
    <n v="344"/>
    <x v="178"/>
    <x v="3"/>
    <x v="0"/>
    <n v="6"/>
    <n v="157999"/>
    <n v="1078"/>
    <s v="Interior"/>
    <x v="267"/>
    <n v="4"/>
    <n v="2024"/>
  </r>
  <r>
    <n v="345"/>
    <x v="81"/>
    <x v="1"/>
    <x v="0"/>
    <n v="5"/>
    <n v="66367"/>
    <n v="1020"/>
    <s v="GBA"/>
    <x v="268"/>
    <n v="4"/>
    <n v="2024"/>
  </r>
  <r>
    <n v="347"/>
    <x v="113"/>
    <x v="2"/>
    <x v="0"/>
    <n v="10"/>
    <n v="237750"/>
    <n v="1086"/>
    <s v="GBA"/>
    <x v="269"/>
    <n v="4"/>
    <n v="2024"/>
  </r>
  <r>
    <n v="348"/>
    <x v="46"/>
    <x v="0"/>
    <x v="0"/>
    <n v="4"/>
    <n v="240806"/>
    <n v="1057"/>
    <s v="Interior"/>
    <x v="270"/>
    <n v="7"/>
    <n v="2024"/>
  </r>
  <r>
    <n v="349"/>
    <x v="10"/>
    <x v="1"/>
    <x v="0"/>
    <n v="6"/>
    <n v="188305"/>
    <n v="1038"/>
    <s v="CABA"/>
    <x v="271"/>
    <n v="9"/>
    <n v="2024"/>
  </r>
  <r>
    <n v="350"/>
    <x v="158"/>
    <x v="7"/>
    <x v="1"/>
    <n v="8"/>
    <n v="49738"/>
    <n v="1004"/>
    <s v="GBA"/>
    <x v="272"/>
    <n v="6"/>
    <n v="2024"/>
  </r>
  <r>
    <n v="351"/>
    <x v="179"/>
    <x v="4"/>
    <x v="0"/>
    <n v="11"/>
    <n v="38397"/>
    <n v="1064"/>
    <s v="Interior"/>
    <x v="273"/>
    <n v="9"/>
    <n v="2024"/>
  </r>
  <r>
    <n v="352"/>
    <x v="180"/>
    <x v="5"/>
    <x v="0"/>
    <n v="1"/>
    <n v="207332"/>
    <n v="1012"/>
    <s v="GBA"/>
    <x v="274"/>
    <n v="11"/>
    <n v="2024"/>
  </r>
  <r>
    <n v="353"/>
    <x v="109"/>
    <x v="2"/>
    <x v="0"/>
    <n v="10"/>
    <n v="116453"/>
    <n v="1084"/>
    <s v="Interior"/>
    <x v="275"/>
    <n v="5"/>
    <n v="2024"/>
  </r>
  <r>
    <n v="355"/>
    <x v="181"/>
    <x v="2"/>
    <x v="0"/>
    <n v="2"/>
    <n v="250011"/>
    <n v="1084"/>
    <s v="CABA"/>
    <x v="276"/>
    <n v="10"/>
    <n v="2024"/>
  </r>
  <r>
    <n v="356"/>
    <x v="182"/>
    <x v="7"/>
    <x v="1"/>
    <n v="8"/>
    <n v="218567"/>
    <n v="1052"/>
    <s v="Interior"/>
    <x v="277"/>
    <n v="8"/>
    <n v="2024"/>
  </r>
  <r>
    <n v="357"/>
    <x v="43"/>
    <x v="3"/>
    <x v="0"/>
    <n v="3"/>
    <n v="76635"/>
    <n v="1081"/>
    <s v="GBA"/>
    <x v="278"/>
    <n v="2"/>
    <n v="2024"/>
  </r>
  <r>
    <n v="358"/>
    <x v="183"/>
    <x v="2"/>
    <x v="0"/>
    <n v="7"/>
    <n v="221184"/>
    <n v="1044"/>
    <s v="Interior"/>
    <x v="279"/>
    <n v="2"/>
    <n v="2024"/>
  </r>
  <r>
    <n v="359"/>
    <x v="180"/>
    <x v="1"/>
    <x v="0"/>
    <n v="1"/>
    <n v="187958"/>
    <n v="1031"/>
    <s v="Interior"/>
    <x v="280"/>
    <n v="11"/>
    <n v="2024"/>
  </r>
  <r>
    <n v="360"/>
    <x v="83"/>
    <x v="2"/>
    <x v="0"/>
    <n v="6"/>
    <n v="282707"/>
    <n v="1035"/>
    <s v="CABA"/>
    <x v="281"/>
    <n v="12"/>
    <n v="2024"/>
  </r>
  <r>
    <n v="361"/>
    <x v="184"/>
    <x v="2"/>
    <x v="0"/>
    <n v="3"/>
    <n v="97324"/>
    <n v="1080"/>
    <s v="Interior"/>
    <x v="282"/>
    <n v="6"/>
    <n v="2024"/>
  </r>
  <r>
    <n v="363"/>
    <x v="185"/>
    <x v="6"/>
    <x v="0"/>
    <n v="14"/>
    <n v="237944"/>
    <n v="1059"/>
    <s v="GBA"/>
    <x v="283"/>
    <n v="4"/>
    <n v="2024"/>
  </r>
  <r>
    <n v="364"/>
    <x v="186"/>
    <x v="6"/>
    <x v="0"/>
    <n v="2"/>
    <n v="276991"/>
    <n v="1010"/>
    <s v="CABA"/>
    <x v="284"/>
    <n v="10"/>
    <n v="2024"/>
  </r>
  <r>
    <n v="365"/>
    <x v="187"/>
    <x v="3"/>
    <x v="0"/>
    <n v="3"/>
    <n v="31155"/>
    <n v="1062"/>
    <s v="CABA"/>
    <x v="285"/>
    <n v="12"/>
    <n v="2024"/>
  </r>
  <r>
    <n v="366"/>
    <x v="188"/>
    <x v="5"/>
    <x v="0"/>
    <n v="9"/>
    <n v="121891"/>
    <n v="1020"/>
    <s v="CABA"/>
    <x v="286"/>
    <n v="5"/>
    <n v="2024"/>
  </r>
  <r>
    <n v="367"/>
    <x v="189"/>
    <x v="2"/>
    <x v="0"/>
    <n v="7"/>
    <n v="154381"/>
    <n v="1051"/>
    <s v="Interior"/>
    <x v="287"/>
    <n v="5"/>
    <n v="2024"/>
  </r>
  <r>
    <n v="368"/>
    <x v="190"/>
    <x v="7"/>
    <x v="1"/>
    <n v="3"/>
    <n v="136691"/>
    <n v="1054"/>
    <s v="CABA"/>
    <x v="288"/>
    <n v="6"/>
    <n v="2024"/>
  </r>
  <r>
    <n v="369"/>
    <x v="191"/>
    <x v="5"/>
    <x v="0"/>
    <n v="5"/>
    <n v="39707"/>
    <n v="1025"/>
    <s v="Interior"/>
    <x v="289"/>
    <n v="9"/>
    <n v="2024"/>
  </r>
  <r>
    <n v="371"/>
    <x v="192"/>
    <x v="5"/>
    <x v="0"/>
    <n v="9"/>
    <n v="183686"/>
    <n v="1033"/>
    <s v="GBA"/>
    <x v="290"/>
    <n v="10"/>
    <n v="2024"/>
  </r>
  <r>
    <n v="372"/>
    <x v="193"/>
    <x v="3"/>
    <x v="0"/>
    <n v="10"/>
    <n v="227500"/>
    <n v="1051"/>
    <s v="GBA"/>
    <x v="291"/>
    <n v="9"/>
    <n v="2024"/>
  </r>
  <r>
    <n v="373"/>
    <x v="165"/>
    <x v="2"/>
    <x v="0"/>
    <n v="4"/>
    <n v="267425"/>
    <n v="1081"/>
    <s v="GBA"/>
    <x v="292"/>
    <n v="6"/>
    <n v="2024"/>
  </r>
  <r>
    <n v="374"/>
    <x v="194"/>
    <x v="2"/>
    <x v="0"/>
    <n v="7"/>
    <n v="163492"/>
    <n v="1098"/>
    <s v="GBA"/>
    <x v="293"/>
    <n v="2"/>
    <n v="2024"/>
  </r>
  <r>
    <n v="375"/>
    <x v="14"/>
    <x v="4"/>
    <x v="0"/>
    <n v="10"/>
    <n v="175102"/>
    <n v="1092"/>
    <s v="GBA"/>
    <x v="294"/>
    <n v="6"/>
    <n v="2024"/>
  </r>
  <r>
    <n v="376"/>
    <x v="132"/>
    <x v="7"/>
    <x v="1"/>
    <n v="14"/>
    <n v="222285"/>
    <n v="1051"/>
    <s v="Interior"/>
    <x v="295"/>
    <n v="9"/>
    <n v="2024"/>
  </r>
  <r>
    <n v="377"/>
    <x v="195"/>
    <x v="5"/>
    <x v="0"/>
    <n v="11"/>
    <n v="164476"/>
    <n v="1028"/>
    <s v="Interior"/>
    <x v="296"/>
    <n v="1"/>
    <n v="2024"/>
  </r>
  <r>
    <n v="379"/>
    <x v="196"/>
    <x v="0"/>
    <x v="0"/>
    <n v="8"/>
    <n v="165928"/>
    <n v="1041"/>
    <s v="Interior"/>
    <x v="297"/>
    <n v="11"/>
    <n v="2024"/>
  </r>
  <r>
    <n v="381"/>
    <x v="30"/>
    <x v="6"/>
    <x v="0"/>
    <n v="1"/>
    <n v="124273"/>
    <n v="1041"/>
    <s v="GBA"/>
    <x v="298"/>
    <n v="11"/>
    <n v="2024"/>
  </r>
  <r>
    <n v="382"/>
    <x v="197"/>
    <x v="4"/>
    <x v="0"/>
    <n v="8"/>
    <n v="177307"/>
    <n v="1012"/>
    <s v="Interior"/>
    <x v="299"/>
    <n v="11"/>
    <n v="2024"/>
  </r>
  <r>
    <n v="383"/>
    <x v="100"/>
    <x v="1"/>
    <x v="0"/>
    <n v="5"/>
    <n v="253500"/>
    <n v="1063"/>
    <s v="GBA"/>
    <x v="300"/>
    <n v="2"/>
    <n v="2024"/>
  </r>
  <r>
    <n v="384"/>
    <x v="198"/>
    <x v="0"/>
    <x v="0"/>
    <n v="8"/>
    <n v="171129"/>
    <n v="1016"/>
    <s v="CABA"/>
    <x v="301"/>
    <n v="6"/>
    <n v="2024"/>
  </r>
  <r>
    <n v="385"/>
    <x v="199"/>
    <x v="1"/>
    <x v="0"/>
    <n v="1"/>
    <n v="137311"/>
    <n v="1008"/>
    <s v="CABA"/>
    <x v="302"/>
    <n v="1"/>
    <n v="2024"/>
  </r>
  <r>
    <n v="386"/>
    <x v="200"/>
    <x v="6"/>
    <x v="0"/>
    <n v="14"/>
    <n v="239746"/>
    <n v="1040"/>
    <s v="Interior"/>
    <x v="303"/>
    <n v="11"/>
    <n v="2024"/>
  </r>
  <r>
    <n v="387"/>
    <x v="37"/>
    <x v="6"/>
    <x v="0"/>
    <n v="4"/>
    <n v="250546"/>
    <n v="1000"/>
    <s v="CABA"/>
    <x v="304"/>
    <n v="9"/>
    <n v="2024"/>
  </r>
  <r>
    <n v="388"/>
    <x v="201"/>
    <x v="6"/>
    <x v="0"/>
    <n v="5"/>
    <n v="201733"/>
    <n v="1001"/>
    <s v="Interior"/>
    <x v="305"/>
    <n v="5"/>
    <n v="2024"/>
  </r>
  <r>
    <n v="391"/>
    <x v="202"/>
    <x v="3"/>
    <x v="0"/>
    <n v="12"/>
    <n v="151470"/>
    <n v="1028"/>
    <s v="GBA"/>
    <x v="306"/>
    <n v="12"/>
    <n v="2024"/>
  </r>
  <r>
    <n v="392"/>
    <x v="203"/>
    <x v="3"/>
    <x v="0"/>
    <n v="2"/>
    <n v="125030"/>
    <n v="1096"/>
    <s v="GBA"/>
    <x v="307"/>
    <n v="11"/>
    <n v="2024"/>
  </r>
  <r>
    <n v="394"/>
    <x v="53"/>
    <x v="4"/>
    <x v="0"/>
    <n v="1"/>
    <n v="14110"/>
    <n v="1057"/>
    <s v="Interior"/>
    <x v="308"/>
    <n v="8"/>
    <n v="2024"/>
  </r>
  <r>
    <n v="395"/>
    <x v="187"/>
    <x v="5"/>
    <x v="0"/>
    <n v="12"/>
    <n v="84141"/>
    <n v="1059"/>
    <s v="CABA"/>
    <x v="309"/>
    <n v="12"/>
    <n v="2024"/>
  </r>
  <r>
    <n v="397"/>
    <x v="161"/>
    <x v="4"/>
    <x v="0"/>
    <n v="8"/>
    <n v="44062"/>
    <n v="1027"/>
    <s v="GBA"/>
    <x v="310"/>
    <n v="6"/>
    <n v="2024"/>
  </r>
  <r>
    <n v="398"/>
    <x v="204"/>
    <x v="2"/>
    <x v="0"/>
    <n v="14"/>
    <n v="290055"/>
    <n v="1074"/>
    <s v="Interior"/>
    <x v="311"/>
    <n v="7"/>
    <n v="2024"/>
  </r>
  <r>
    <n v="399"/>
    <x v="71"/>
    <x v="7"/>
    <x v="1"/>
    <n v="10"/>
    <n v="109061"/>
    <n v="1033"/>
    <s v="CABA"/>
    <x v="312"/>
    <n v="3"/>
    <n v="2024"/>
  </r>
  <r>
    <n v="400"/>
    <x v="54"/>
    <x v="7"/>
    <x v="1"/>
    <n v="8"/>
    <n v="299700"/>
    <n v="1007"/>
    <s v="Interior"/>
    <x v="313"/>
    <n v="7"/>
    <n v="2024"/>
  </r>
  <r>
    <n v="402"/>
    <x v="2"/>
    <x v="5"/>
    <x v="0"/>
    <n v="6"/>
    <n v="126863"/>
    <n v="1085"/>
    <s v="Interior"/>
    <x v="314"/>
    <n v="5"/>
    <n v="2024"/>
  </r>
  <r>
    <n v="404"/>
    <x v="183"/>
    <x v="0"/>
    <x v="0"/>
    <n v="6"/>
    <n v="128008"/>
    <n v="1048"/>
    <s v="CABA"/>
    <x v="315"/>
    <n v="2"/>
    <n v="2024"/>
  </r>
  <r>
    <n v="405"/>
    <x v="187"/>
    <x v="1"/>
    <x v="0"/>
    <n v="6"/>
    <n v="159268"/>
    <n v="1078"/>
    <s v="GBA"/>
    <x v="316"/>
    <n v="12"/>
    <n v="2024"/>
  </r>
  <r>
    <n v="406"/>
    <x v="205"/>
    <x v="1"/>
    <x v="0"/>
    <n v="5"/>
    <n v="110823"/>
    <n v="1016"/>
    <s v="CABA"/>
    <x v="317"/>
    <n v="10"/>
    <n v="2024"/>
  </r>
  <r>
    <n v="407"/>
    <x v="120"/>
    <x v="1"/>
    <x v="0"/>
    <n v="14"/>
    <n v="280813"/>
    <n v="1059"/>
    <s v="GBA"/>
    <x v="318"/>
    <n v="6"/>
    <n v="2024"/>
  </r>
  <r>
    <n v="409"/>
    <x v="143"/>
    <x v="2"/>
    <x v="0"/>
    <n v="8"/>
    <n v="251958"/>
    <n v="1087"/>
    <s v="GBA"/>
    <x v="319"/>
    <n v="11"/>
    <n v="2024"/>
  </r>
  <r>
    <n v="410"/>
    <x v="16"/>
    <x v="2"/>
    <x v="0"/>
    <n v="5"/>
    <n v="53320"/>
    <n v="1044"/>
    <s v="Interior"/>
    <x v="320"/>
    <n v="9"/>
    <n v="2024"/>
  </r>
  <r>
    <n v="411"/>
    <x v="43"/>
    <x v="7"/>
    <x v="1"/>
    <n v="7"/>
    <n v="151649"/>
    <n v="1082"/>
    <s v="Interior"/>
    <x v="321"/>
    <n v="2"/>
    <n v="2024"/>
  </r>
  <r>
    <n v="412"/>
    <x v="125"/>
    <x v="6"/>
    <x v="0"/>
    <n v="4"/>
    <n v="130354"/>
    <n v="1068"/>
    <s v="Interior"/>
    <x v="322"/>
    <n v="4"/>
    <n v="2024"/>
  </r>
  <r>
    <n v="415"/>
    <x v="153"/>
    <x v="1"/>
    <x v="0"/>
    <n v="2"/>
    <n v="33625"/>
    <n v="1064"/>
    <s v="CABA"/>
    <x v="323"/>
    <n v="2"/>
    <n v="2024"/>
  </r>
  <r>
    <n v="416"/>
    <x v="107"/>
    <x v="7"/>
    <x v="1"/>
    <n v="9"/>
    <n v="217112"/>
    <n v="1086"/>
    <s v="Interior"/>
    <x v="324"/>
    <n v="4"/>
    <n v="2024"/>
  </r>
  <r>
    <n v="417"/>
    <x v="87"/>
    <x v="0"/>
    <x v="0"/>
    <n v="9"/>
    <n v="291233"/>
    <n v="1007"/>
    <s v="CABA"/>
    <x v="325"/>
    <n v="1"/>
    <n v="2024"/>
  </r>
  <r>
    <n v="418"/>
    <x v="0"/>
    <x v="4"/>
    <x v="0"/>
    <n v="3"/>
    <n v="41487"/>
    <n v="1076"/>
    <s v="CABA"/>
    <x v="326"/>
    <n v="4"/>
    <n v="2024"/>
  </r>
  <r>
    <n v="420"/>
    <x v="206"/>
    <x v="7"/>
    <x v="1"/>
    <n v="9"/>
    <n v="178895"/>
    <n v="1086"/>
    <s v="GBA"/>
    <x v="327"/>
    <n v="9"/>
    <n v="2024"/>
  </r>
  <r>
    <n v="421"/>
    <x v="170"/>
    <x v="6"/>
    <x v="0"/>
    <n v="2"/>
    <n v="106376"/>
    <n v="1042"/>
    <s v="GBA"/>
    <x v="328"/>
    <n v="12"/>
    <n v="2024"/>
  </r>
  <r>
    <n v="422"/>
    <x v="207"/>
    <x v="6"/>
    <x v="0"/>
    <n v="9"/>
    <n v="248341"/>
    <n v="1000"/>
    <s v="GBA"/>
    <x v="329"/>
    <n v="12"/>
    <n v="2024"/>
  </r>
  <r>
    <n v="423"/>
    <x v="208"/>
    <x v="6"/>
    <x v="0"/>
    <n v="14"/>
    <n v="286652"/>
    <n v="1050"/>
    <s v="CABA"/>
    <x v="330"/>
    <n v="2"/>
    <n v="2024"/>
  </r>
  <r>
    <n v="424"/>
    <x v="209"/>
    <x v="7"/>
    <x v="1"/>
    <n v="14"/>
    <n v="163056"/>
    <n v="1023"/>
    <s v="Interior"/>
    <x v="331"/>
    <n v="12"/>
    <n v="2024"/>
  </r>
  <r>
    <n v="425"/>
    <x v="210"/>
    <x v="1"/>
    <x v="0"/>
    <n v="7"/>
    <n v="115169"/>
    <n v="1098"/>
    <s v="CABA"/>
    <x v="332"/>
    <n v="11"/>
    <n v="2024"/>
  </r>
  <r>
    <n v="426"/>
    <x v="148"/>
    <x v="3"/>
    <x v="0"/>
    <n v="14"/>
    <n v="275269"/>
    <n v="1023"/>
    <s v="CABA"/>
    <x v="333"/>
    <n v="11"/>
    <n v="2024"/>
  </r>
  <r>
    <n v="427"/>
    <x v="140"/>
    <x v="3"/>
    <x v="0"/>
    <n v="12"/>
    <n v="41059"/>
    <n v="1016"/>
    <s v="CABA"/>
    <x v="334"/>
    <n v="5"/>
    <n v="2024"/>
  </r>
  <r>
    <n v="428"/>
    <x v="211"/>
    <x v="1"/>
    <x v="0"/>
    <n v="9"/>
    <n v="108409"/>
    <n v="1004"/>
    <s v="GBA"/>
    <x v="335"/>
    <n v="9"/>
    <n v="2024"/>
  </r>
  <r>
    <n v="429"/>
    <x v="142"/>
    <x v="6"/>
    <x v="0"/>
    <n v="13"/>
    <n v="10704"/>
    <n v="1019"/>
    <s v="GBA"/>
    <x v="336"/>
    <n v="5"/>
    <n v="2024"/>
  </r>
  <r>
    <n v="430"/>
    <x v="44"/>
    <x v="4"/>
    <x v="0"/>
    <n v="5"/>
    <n v="209456"/>
    <n v="1020"/>
    <s v="GBA"/>
    <x v="337"/>
    <n v="4"/>
    <n v="2024"/>
  </r>
  <r>
    <n v="431"/>
    <x v="167"/>
    <x v="5"/>
    <x v="0"/>
    <n v="14"/>
    <n v="223200"/>
    <n v="1057"/>
    <s v="Interior"/>
    <x v="338"/>
    <n v="6"/>
    <n v="2024"/>
  </r>
  <r>
    <n v="432"/>
    <x v="146"/>
    <x v="7"/>
    <x v="1"/>
    <n v="2"/>
    <n v="116279"/>
    <n v="1030"/>
    <s v="CABA"/>
    <x v="339"/>
    <n v="5"/>
    <n v="2024"/>
  </r>
  <r>
    <n v="433"/>
    <x v="212"/>
    <x v="5"/>
    <x v="0"/>
    <n v="13"/>
    <n v="163280"/>
    <n v="1099"/>
    <s v="Interior"/>
    <x v="340"/>
    <n v="5"/>
    <n v="2024"/>
  </r>
  <r>
    <n v="434"/>
    <x v="157"/>
    <x v="0"/>
    <x v="0"/>
    <n v="3"/>
    <n v="123516"/>
    <n v="1010"/>
    <s v="GBA"/>
    <x v="341"/>
    <n v="4"/>
    <n v="2024"/>
  </r>
  <r>
    <n v="435"/>
    <x v="213"/>
    <x v="1"/>
    <x v="0"/>
    <n v="5"/>
    <n v="202096"/>
    <n v="1051"/>
    <s v="Interior"/>
    <x v="342"/>
    <n v="11"/>
    <n v="2024"/>
  </r>
  <r>
    <n v="436"/>
    <x v="214"/>
    <x v="4"/>
    <x v="0"/>
    <n v="9"/>
    <n v="237549"/>
    <n v="1014"/>
    <s v="CABA"/>
    <x v="343"/>
    <n v="10"/>
    <n v="2024"/>
  </r>
  <r>
    <n v="437"/>
    <x v="36"/>
    <x v="7"/>
    <x v="1"/>
    <n v="12"/>
    <n v="34165"/>
    <n v="1082"/>
    <s v="CABA"/>
    <x v="344"/>
    <n v="4"/>
    <n v="2024"/>
  </r>
  <r>
    <n v="438"/>
    <x v="183"/>
    <x v="1"/>
    <x v="0"/>
    <n v="6"/>
    <n v="72203"/>
    <n v="1006"/>
    <s v="GBA"/>
    <x v="345"/>
    <n v="2"/>
    <n v="2024"/>
  </r>
  <r>
    <n v="439"/>
    <x v="33"/>
    <x v="6"/>
    <x v="0"/>
    <n v="10"/>
    <n v="271258"/>
    <n v="1027"/>
    <s v="GBA"/>
    <x v="346"/>
    <n v="12"/>
    <n v="2024"/>
  </r>
  <r>
    <n v="440"/>
    <x v="215"/>
    <x v="3"/>
    <x v="0"/>
    <n v="12"/>
    <n v="41321"/>
    <n v="1050"/>
    <s v="Interior"/>
    <x v="347"/>
    <n v="8"/>
    <n v="2024"/>
  </r>
  <r>
    <n v="441"/>
    <x v="216"/>
    <x v="5"/>
    <x v="0"/>
    <n v="7"/>
    <n v="250014"/>
    <n v="1057"/>
    <s v="GBA"/>
    <x v="348"/>
    <n v="4"/>
    <n v="2024"/>
  </r>
  <r>
    <n v="442"/>
    <x v="122"/>
    <x v="2"/>
    <x v="0"/>
    <n v="13"/>
    <n v="161498"/>
    <n v="1004"/>
    <s v="GBA"/>
    <x v="349"/>
    <n v="11"/>
    <n v="2024"/>
  </r>
  <r>
    <n v="443"/>
    <x v="217"/>
    <x v="2"/>
    <x v="0"/>
    <n v="4"/>
    <n v="22772"/>
    <n v="1004"/>
    <s v="CABA"/>
    <x v="350"/>
    <n v="10"/>
    <n v="2024"/>
  </r>
  <r>
    <n v="444"/>
    <x v="189"/>
    <x v="4"/>
    <x v="0"/>
    <n v="14"/>
    <n v="270856"/>
    <n v="1093"/>
    <s v="GBA"/>
    <x v="351"/>
    <n v="5"/>
    <n v="2024"/>
  </r>
  <r>
    <n v="445"/>
    <x v="69"/>
    <x v="6"/>
    <x v="0"/>
    <n v="4"/>
    <n v="243389"/>
    <n v="1095"/>
    <s v="GBA"/>
    <x v="352"/>
    <n v="5"/>
    <n v="2024"/>
  </r>
  <r>
    <n v="446"/>
    <x v="183"/>
    <x v="0"/>
    <x v="0"/>
    <n v="11"/>
    <n v="120142"/>
    <n v="1007"/>
    <s v="CABA"/>
    <x v="353"/>
    <n v="2"/>
    <n v="2024"/>
  </r>
  <r>
    <n v="447"/>
    <x v="218"/>
    <x v="5"/>
    <x v="0"/>
    <n v="12"/>
    <n v="96736"/>
    <n v="1063"/>
    <s v="CABA"/>
    <x v="354"/>
    <n v="5"/>
    <n v="2024"/>
  </r>
  <r>
    <n v="448"/>
    <x v="219"/>
    <x v="6"/>
    <x v="0"/>
    <n v="4"/>
    <n v="56924"/>
    <n v="1009"/>
    <s v="Interior"/>
    <x v="355"/>
    <n v="1"/>
    <n v="2024"/>
  </r>
  <r>
    <n v="449"/>
    <x v="220"/>
    <x v="5"/>
    <x v="0"/>
    <n v="6"/>
    <n v="8726"/>
    <n v="1037"/>
    <s v="GBA"/>
    <x v="356"/>
    <n v="8"/>
    <n v="2024"/>
  </r>
  <r>
    <n v="450"/>
    <x v="221"/>
    <x v="4"/>
    <x v="0"/>
    <n v="13"/>
    <n v="32723"/>
    <n v="1095"/>
    <s v="CABA"/>
    <x v="357"/>
    <n v="10"/>
    <n v="2024"/>
  </r>
  <r>
    <n v="451"/>
    <x v="119"/>
    <x v="4"/>
    <x v="0"/>
    <n v="5"/>
    <n v="239182"/>
    <n v="1091"/>
    <s v="Interior"/>
    <x v="358"/>
    <n v="4"/>
    <n v="2024"/>
  </r>
  <r>
    <n v="452"/>
    <x v="130"/>
    <x v="0"/>
    <x v="0"/>
    <n v="4"/>
    <n v="145180"/>
    <n v="1080"/>
    <s v="Interior"/>
    <x v="359"/>
    <n v="5"/>
    <n v="2024"/>
  </r>
  <r>
    <n v="454"/>
    <x v="79"/>
    <x v="6"/>
    <x v="0"/>
    <n v="7"/>
    <n v="40643"/>
    <n v="1007"/>
    <s v="GBA"/>
    <x v="360"/>
    <n v="2"/>
    <n v="2024"/>
  </r>
  <r>
    <n v="455"/>
    <x v="29"/>
    <x v="7"/>
    <x v="1"/>
    <n v="4"/>
    <n v="167396"/>
    <n v="1024"/>
    <s v="Interior"/>
    <x v="361"/>
    <n v="3"/>
    <n v="2024"/>
  </r>
  <r>
    <n v="456"/>
    <x v="58"/>
    <x v="2"/>
    <x v="0"/>
    <n v="14"/>
    <n v="219432"/>
    <n v="1072"/>
    <s v="CABA"/>
    <x v="362"/>
    <n v="8"/>
    <n v="2024"/>
  </r>
  <r>
    <n v="457"/>
    <x v="222"/>
    <x v="6"/>
    <x v="0"/>
    <n v="11"/>
    <n v="144999"/>
    <n v="1065"/>
    <s v="Interior"/>
    <x v="363"/>
    <n v="9"/>
    <n v="2024"/>
  </r>
  <r>
    <n v="459"/>
    <x v="6"/>
    <x v="7"/>
    <x v="1"/>
    <n v="9"/>
    <n v="114834"/>
    <n v="1049"/>
    <s v="CABA"/>
    <x v="364"/>
    <n v="7"/>
    <n v="2024"/>
  </r>
  <r>
    <n v="460"/>
    <x v="223"/>
    <x v="3"/>
    <x v="0"/>
    <n v="10"/>
    <n v="241386"/>
    <n v="1066"/>
    <s v="CABA"/>
    <x v="365"/>
    <n v="3"/>
    <n v="2024"/>
  </r>
  <r>
    <n v="463"/>
    <x v="132"/>
    <x v="3"/>
    <x v="0"/>
    <n v="2"/>
    <n v="27612"/>
    <n v="1067"/>
    <s v="Interior"/>
    <x v="366"/>
    <n v="9"/>
    <n v="2024"/>
  </r>
  <r>
    <n v="464"/>
    <x v="224"/>
    <x v="3"/>
    <x v="0"/>
    <n v="8"/>
    <n v="230049"/>
    <n v="1077"/>
    <s v="Interior"/>
    <x v="367"/>
    <n v="3"/>
    <n v="2024"/>
  </r>
  <r>
    <n v="465"/>
    <x v="225"/>
    <x v="1"/>
    <x v="0"/>
    <n v="5"/>
    <n v="273615"/>
    <n v="1040"/>
    <s v="Interior"/>
    <x v="368"/>
    <n v="6"/>
    <n v="2024"/>
  </r>
  <r>
    <n v="466"/>
    <x v="140"/>
    <x v="5"/>
    <x v="0"/>
    <n v="9"/>
    <n v="171703"/>
    <n v="1088"/>
    <s v="CABA"/>
    <x v="369"/>
    <n v="5"/>
    <n v="2024"/>
  </r>
  <r>
    <n v="467"/>
    <x v="226"/>
    <x v="1"/>
    <x v="0"/>
    <n v="4"/>
    <n v="245069"/>
    <n v="1061"/>
    <s v="CABA"/>
    <x v="370"/>
    <n v="3"/>
    <n v="2024"/>
  </r>
  <r>
    <n v="468"/>
    <x v="227"/>
    <x v="1"/>
    <x v="0"/>
    <n v="12"/>
    <n v="228131"/>
    <n v="1009"/>
    <s v="GBA"/>
    <x v="371"/>
    <n v="7"/>
    <n v="2024"/>
  </r>
  <r>
    <n v="469"/>
    <x v="228"/>
    <x v="0"/>
    <x v="0"/>
    <n v="14"/>
    <n v="36348"/>
    <n v="1020"/>
    <s v="GBA"/>
    <x v="372"/>
    <n v="10"/>
    <n v="2024"/>
  </r>
  <r>
    <n v="470"/>
    <x v="127"/>
    <x v="1"/>
    <x v="0"/>
    <n v="1"/>
    <n v="200804"/>
    <n v="1035"/>
    <s v="Interior"/>
    <x v="373"/>
    <n v="8"/>
    <n v="2024"/>
  </r>
  <r>
    <n v="471"/>
    <x v="223"/>
    <x v="3"/>
    <x v="0"/>
    <n v="10"/>
    <n v="268321"/>
    <n v="1011"/>
    <s v="Interior"/>
    <x v="374"/>
    <n v="3"/>
    <n v="2024"/>
  </r>
  <r>
    <n v="473"/>
    <x v="229"/>
    <x v="0"/>
    <x v="0"/>
    <n v="13"/>
    <n v="299923"/>
    <n v="1001"/>
    <s v="GBA"/>
    <x v="375"/>
    <n v="4"/>
    <n v="2024"/>
  </r>
  <r>
    <n v="474"/>
    <x v="166"/>
    <x v="0"/>
    <x v="0"/>
    <n v="10"/>
    <n v="288780"/>
    <n v="1012"/>
    <s v="CABA"/>
    <x v="376"/>
    <n v="8"/>
    <n v="2024"/>
  </r>
  <r>
    <n v="475"/>
    <x v="230"/>
    <x v="4"/>
    <x v="0"/>
    <n v="7"/>
    <n v="86889"/>
    <n v="1052"/>
    <s v="CABA"/>
    <x v="377"/>
    <n v="7"/>
    <n v="2024"/>
  </r>
  <r>
    <n v="476"/>
    <x v="47"/>
    <x v="0"/>
    <x v="0"/>
    <n v="9"/>
    <n v="58551"/>
    <n v="1031"/>
    <s v="Interior"/>
    <x v="378"/>
    <n v="8"/>
    <n v="2024"/>
  </r>
  <r>
    <n v="479"/>
    <x v="231"/>
    <x v="5"/>
    <x v="0"/>
    <n v="7"/>
    <n v="217781"/>
    <n v="1031"/>
    <s v="Interior"/>
    <x v="379"/>
    <n v="4"/>
    <n v="2024"/>
  </r>
  <r>
    <n v="481"/>
    <x v="154"/>
    <x v="0"/>
    <x v="0"/>
    <n v="10"/>
    <n v="194420"/>
    <n v="1097"/>
    <s v="CABA"/>
    <x v="380"/>
    <n v="9"/>
    <n v="2024"/>
  </r>
  <r>
    <n v="482"/>
    <x v="96"/>
    <x v="3"/>
    <x v="0"/>
    <n v="10"/>
    <n v="29596"/>
    <n v="1010"/>
    <s v="Interior"/>
    <x v="381"/>
    <n v="8"/>
    <n v="2024"/>
  </r>
  <r>
    <n v="484"/>
    <x v="232"/>
    <x v="2"/>
    <x v="0"/>
    <n v="4"/>
    <n v="133803"/>
    <n v="1014"/>
    <s v="Interior"/>
    <x v="382"/>
    <n v="1"/>
    <n v="2024"/>
  </r>
  <r>
    <n v="485"/>
    <x v="233"/>
    <x v="0"/>
    <x v="0"/>
    <n v="11"/>
    <n v="144978"/>
    <n v="1016"/>
    <s v="Interior"/>
    <x v="383"/>
    <n v="9"/>
    <n v="2024"/>
  </r>
  <r>
    <n v="486"/>
    <x v="234"/>
    <x v="6"/>
    <x v="0"/>
    <n v="14"/>
    <n v="50379"/>
    <n v="1039"/>
    <s v="CABA"/>
    <x v="384"/>
    <n v="1"/>
    <n v="2024"/>
  </r>
  <r>
    <n v="487"/>
    <x v="193"/>
    <x v="2"/>
    <x v="0"/>
    <n v="9"/>
    <n v="250900"/>
    <n v="1017"/>
    <s v="Interior"/>
    <x v="385"/>
    <n v="9"/>
    <n v="2024"/>
  </r>
  <r>
    <n v="488"/>
    <x v="137"/>
    <x v="6"/>
    <x v="0"/>
    <n v="13"/>
    <n v="263517"/>
    <n v="1054"/>
    <s v="CABA"/>
    <x v="386"/>
    <n v="11"/>
    <n v="2024"/>
  </r>
  <r>
    <n v="489"/>
    <x v="231"/>
    <x v="3"/>
    <x v="0"/>
    <n v="9"/>
    <n v="142084"/>
    <n v="1072"/>
    <s v="CABA"/>
    <x v="387"/>
    <n v="4"/>
    <n v="2024"/>
  </r>
  <r>
    <n v="490"/>
    <x v="221"/>
    <x v="3"/>
    <x v="0"/>
    <n v="12"/>
    <n v="186187"/>
    <n v="1024"/>
    <s v="CABA"/>
    <x v="388"/>
    <n v="10"/>
    <n v="2024"/>
  </r>
  <r>
    <n v="491"/>
    <x v="120"/>
    <x v="2"/>
    <x v="0"/>
    <n v="7"/>
    <n v="274295"/>
    <n v="1058"/>
    <s v="GBA"/>
    <x v="389"/>
    <n v="6"/>
    <n v="2024"/>
  </r>
  <r>
    <n v="492"/>
    <x v="182"/>
    <x v="2"/>
    <x v="0"/>
    <n v="4"/>
    <n v="62716"/>
    <n v="1077"/>
    <s v="GBA"/>
    <x v="390"/>
    <n v="8"/>
    <n v="2024"/>
  </r>
  <r>
    <n v="493"/>
    <x v="233"/>
    <x v="6"/>
    <x v="0"/>
    <n v="2"/>
    <n v="228725"/>
    <n v="1088"/>
    <s v="CABA"/>
    <x v="391"/>
    <n v="9"/>
    <n v="2024"/>
  </r>
  <r>
    <n v="495"/>
    <x v="119"/>
    <x v="6"/>
    <x v="0"/>
    <n v="14"/>
    <n v="178724"/>
    <n v="1029"/>
    <s v="CABA"/>
    <x v="392"/>
    <n v="4"/>
    <n v="2024"/>
  </r>
  <r>
    <n v="497"/>
    <x v="137"/>
    <x v="7"/>
    <x v="1"/>
    <n v="10"/>
    <n v="149539"/>
    <n v="1084"/>
    <s v="CABA"/>
    <x v="393"/>
    <n v="11"/>
    <n v="2024"/>
  </r>
  <r>
    <n v="498"/>
    <x v="235"/>
    <x v="2"/>
    <x v="0"/>
    <n v="11"/>
    <n v="126999"/>
    <n v="1043"/>
    <s v="Interior"/>
    <x v="394"/>
    <n v="1"/>
    <n v="2024"/>
  </r>
  <r>
    <n v="499"/>
    <x v="236"/>
    <x v="7"/>
    <x v="1"/>
    <n v="1"/>
    <n v="119793"/>
    <n v="1031"/>
    <s v="GBA"/>
    <x v="395"/>
    <n v="1"/>
    <n v="2024"/>
  </r>
  <r>
    <n v="500"/>
    <x v="60"/>
    <x v="5"/>
    <x v="0"/>
    <n v="2"/>
    <n v="17289"/>
    <n v="1050"/>
    <s v="Interior"/>
    <x v="396"/>
    <n v="10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93323-E6A4-49EA-8DF7-3070B32662BD}" name="TablaDinámica4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L6:N23" firstHeaderRow="1" firstDataRow="1" firstDataCol="0"/>
  <pivotFields count="12">
    <pivotField showAll="0"/>
    <pivotField numFmtId="14"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005DE-E568-4E76-A668-915D6078E34C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8">
  <location ref="A3:C16" firstHeaderRow="0" firstDataRow="1" firstDataCol="1"/>
  <pivotFields count="12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numFmtId="164" showAll="0"/>
    <pivotField showAll="0"/>
    <pivotField showAll="0"/>
    <pivotField dataField="1" numFmtId="16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s_totales" fld="8" baseField="0" baseItem="0" numFmtId="165"/>
    <dataField name="Suma de Unidades" fld="4" baseField="0" baseItem="0"/>
  </dataFields>
  <formats count="2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8BC5B-1907-449D-BE8D-D3B3073B758C}" name="TablaDiná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6">
  <location ref="E3:G9" firstHeaderRow="0" firstDataRow="1" firstDataCol="1"/>
  <pivotFields count="12">
    <pivotField showAll="0"/>
    <pivotField numFmtId="14" showAll="0"/>
    <pivotField axis="axisRow" showAll="0" measureFilter="1" sortType="ascending">
      <items count="9">
        <item x="2"/>
        <item x="7"/>
        <item x="4"/>
        <item x="6"/>
        <item x="5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numFmtId="164" showAll="0"/>
    <pivotField showAll="0"/>
    <pivotField showAll="0"/>
    <pivotField dataField="1" numFmtId="164" showAll="0">
      <items count="398">
        <item x="308"/>
        <item x="45"/>
        <item x="18"/>
        <item x="396"/>
        <item x="26"/>
        <item x="31"/>
        <item x="251"/>
        <item x="356"/>
        <item x="68"/>
        <item x="366"/>
        <item x="135"/>
        <item x="323"/>
        <item x="242"/>
        <item x="153"/>
        <item x="136"/>
        <item x="350"/>
        <item x="53"/>
        <item x="249"/>
        <item x="285"/>
        <item x="134"/>
        <item x="44"/>
        <item x="147"/>
        <item x="69"/>
        <item x="56"/>
        <item x="197"/>
        <item x="111"/>
        <item x="395"/>
        <item x="298"/>
        <item x="326"/>
        <item x="49"/>
        <item x="168"/>
        <item x="302"/>
        <item x="48"/>
        <item x="255"/>
        <item x="336"/>
        <item x="105"/>
        <item x="66"/>
        <item x="176"/>
        <item x="203"/>
        <item x="224"/>
        <item x="184"/>
        <item x="225"/>
        <item x="241"/>
        <item x="198"/>
        <item x="175"/>
        <item x="76"/>
        <item x="21"/>
        <item x="133"/>
        <item x="280"/>
        <item x="74"/>
        <item x="107"/>
        <item x="289"/>
        <item x="373"/>
        <item x="274"/>
        <item x="52"/>
        <item x="328"/>
        <item x="178"/>
        <item x="189"/>
        <item x="355"/>
        <item x="278"/>
        <item x="339"/>
        <item x="22"/>
        <item x="143"/>
        <item x="307"/>
        <item x="390"/>
        <item x="104"/>
        <item x="92"/>
        <item x="320"/>
        <item x="46"/>
        <item x="63"/>
        <item x="155"/>
        <item x="38"/>
        <item x="160"/>
        <item x="37"/>
        <item x="152"/>
        <item x="43"/>
        <item x="149"/>
        <item x="40"/>
        <item x="360"/>
        <item x="204"/>
        <item x="123"/>
        <item x="282"/>
        <item x="381"/>
        <item x="109"/>
        <item x="173"/>
        <item x="150"/>
        <item x="268"/>
        <item x="194"/>
        <item x="41"/>
        <item x="310"/>
        <item x="256"/>
        <item x="341"/>
        <item x="94"/>
        <item x="0"/>
        <item x="272"/>
        <item x="344"/>
        <item x="288"/>
        <item x="100"/>
        <item x="60"/>
        <item x="205"/>
        <item x="138"/>
        <item x="257"/>
        <item x="273"/>
        <item x="177"/>
        <item x="357"/>
        <item x="345"/>
        <item x="158"/>
        <item x="391"/>
        <item x="226"/>
        <item x="16"/>
        <item x="234"/>
        <item x="58"/>
        <item x="334"/>
        <item x="347"/>
        <item x="34"/>
        <item x="276"/>
        <item x="223"/>
        <item x="79"/>
        <item x="171"/>
        <item x="372"/>
        <item x="322"/>
        <item x="140"/>
        <item x="106"/>
        <item x="378"/>
        <item x="227"/>
        <item x="243"/>
        <item x="382"/>
        <item x="86"/>
        <item x="218"/>
        <item x="187"/>
        <item x="64"/>
        <item x="284"/>
        <item x="317"/>
        <item x="170"/>
        <item x="3"/>
        <item x="118"/>
        <item x="126"/>
        <item x="190"/>
        <item x="71"/>
        <item x="67"/>
        <item x="89"/>
        <item x="359"/>
        <item x="73"/>
        <item x="186"/>
        <item x="81"/>
        <item x="377"/>
        <item x="248"/>
        <item x="27"/>
        <item x="210"/>
        <item x="13"/>
        <item x="10"/>
        <item x="117"/>
        <item x="20"/>
        <item x="361"/>
        <item x="236"/>
        <item x="120"/>
        <item x="384"/>
        <item x="95"/>
        <item x="65"/>
        <item x="113"/>
        <item x="115"/>
        <item x="314"/>
        <item x="315"/>
        <item x="235"/>
        <item x="75"/>
        <item x="159"/>
        <item x="101"/>
        <item x="169"/>
        <item x="125"/>
        <item x="196"/>
        <item x="127"/>
        <item x="332"/>
        <item x="77"/>
        <item x="84"/>
        <item x="15"/>
        <item x="212"/>
        <item x="54"/>
        <item x="2"/>
        <item x="228"/>
        <item x="151"/>
        <item x="214"/>
        <item x="128"/>
        <item x="206"/>
        <item x="14"/>
        <item x="231"/>
        <item x="124"/>
        <item x="199"/>
        <item x="29"/>
        <item x="85"/>
        <item x="28"/>
        <item x="264"/>
        <item x="259"/>
        <item x="208"/>
        <item x="39"/>
        <item x="267"/>
        <item x="114"/>
        <item x="316"/>
        <item x="260"/>
        <item x="270"/>
        <item x="352"/>
        <item x="335"/>
        <item x="370"/>
        <item x="161"/>
        <item x="167"/>
        <item x="50"/>
        <item x="217"/>
        <item x="304"/>
        <item x="240"/>
        <item x="132"/>
        <item x="305"/>
        <item x="309"/>
        <item x="342"/>
        <item x="258"/>
        <item x="364"/>
        <item x="116"/>
        <item x="59"/>
        <item x="201"/>
        <item x="337"/>
        <item x="183"/>
        <item x="142"/>
        <item x="321"/>
        <item x="292"/>
        <item x="230"/>
        <item x="25"/>
        <item x="287"/>
        <item x="219"/>
        <item x="312"/>
        <item x="286"/>
        <item x="182"/>
        <item x="271"/>
        <item x="247"/>
        <item x="293"/>
        <item x="122"/>
        <item x="354"/>
        <item x="275"/>
        <item x="263"/>
        <item x="245"/>
        <item x="237"/>
        <item x="358"/>
        <item x="36"/>
        <item x="80"/>
        <item x="213"/>
        <item x="179"/>
        <item x="83"/>
        <item x="222"/>
        <item x="300"/>
        <item x="387"/>
        <item x="162"/>
        <item x="164"/>
        <item x="90"/>
        <item x="252"/>
        <item x="353"/>
        <item x="51"/>
        <item x="297"/>
        <item x="146"/>
        <item x="103"/>
        <item x="9"/>
        <item x="12"/>
        <item x="1"/>
        <item x="368"/>
        <item x="301"/>
        <item x="232"/>
        <item x="221"/>
        <item x="42"/>
        <item x="394"/>
        <item x="193"/>
        <item x="87"/>
        <item x="299"/>
        <item x="70"/>
        <item x="262"/>
        <item x="99"/>
        <item x="72"/>
        <item x="202"/>
        <item x="112"/>
        <item x="35"/>
        <item x="181"/>
        <item x="165"/>
        <item x="393"/>
        <item x="253"/>
        <item x="144"/>
        <item x="379"/>
        <item x="195"/>
        <item x="145"/>
        <item x="369"/>
        <item x="279"/>
        <item x="98"/>
        <item x="215"/>
        <item x="383"/>
        <item x="363"/>
        <item x="185"/>
        <item x="62"/>
        <item x="239"/>
        <item x="327"/>
        <item x="220"/>
        <item x="55"/>
        <item x="266"/>
        <item x="166"/>
        <item x="290"/>
        <item x="157"/>
        <item x="281"/>
        <item x="200"/>
        <item x="130"/>
        <item x="47"/>
        <item x="139"/>
        <item x="277"/>
        <item x="348"/>
        <item x="294"/>
        <item x="78"/>
        <item x="11"/>
        <item x="296"/>
        <item x="306"/>
        <item x="19"/>
        <item x="367"/>
        <item x="82"/>
        <item x="61"/>
        <item x="129"/>
        <item x="192"/>
        <item x="389"/>
        <item x="380"/>
        <item x="324"/>
        <item x="141"/>
        <item x="188"/>
        <item x="319"/>
        <item x="137"/>
        <item x="97"/>
        <item x="154"/>
        <item x="246"/>
        <item x="349"/>
        <item x="340"/>
        <item x="343"/>
        <item x="156"/>
        <item x="6"/>
        <item x="4"/>
        <item x="388"/>
        <item x="329"/>
        <item x="57"/>
        <item x="385"/>
        <item x="291"/>
        <item x="207"/>
        <item x="331"/>
        <item x="110"/>
        <item x="102"/>
        <item x="269"/>
        <item x="313"/>
        <item x="365"/>
        <item x="174"/>
        <item x="23"/>
        <item x="229"/>
        <item x="392"/>
        <item x="91"/>
        <item x="8"/>
        <item x="209"/>
        <item x="172"/>
        <item x="191"/>
        <item x="325"/>
        <item x="254"/>
        <item x="374"/>
        <item x="346"/>
        <item x="371"/>
        <item x="24"/>
        <item x="121"/>
        <item x="7"/>
        <item x="233"/>
        <item x="163"/>
        <item x="376"/>
        <item x="30"/>
        <item x="238"/>
        <item x="96"/>
        <item x="362"/>
        <item x="295"/>
        <item x="338"/>
        <item x="250"/>
        <item x="148"/>
        <item x="265"/>
        <item x="108"/>
        <item x="88"/>
        <item x="283"/>
        <item x="303"/>
        <item x="131"/>
        <item x="261"/>
        <item x="32"/>
        <item x="386"/>
        <item x="5"/>
        <item x="180"/>
        <item x="33"/>
        <item x="17"/>
        <item x="216"/>
        <item x="93"/>
        <item x="351"/>
        <item x="244"/>
        <item x="333"/>
        <item x="375"/>
        <item x="211"/>
        <item x="318"/>
        <item x="330"/>
        <item x="311"/>
        <item x="119"/>
        <item t="default"/>
      </items>
    </pivotField>
    <pivotField showAll="0"/>
    <pivotField showAll="0"/>
    <pivotField showAll="0" defaultSubtotal="0"/>
  </pivotFields>
  <rowFields count="1">
    <field x="2"/>
  </rowFields>
  <rowItems count="6">
    <i>
      <x v="1"/>
    </i>
    <i>
      <x v="4"/>
    </i>
    <i>
      <x v="5"/>
    </i>
    <i>
      <x v="6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nidades" fld="4" baseField="0" baseItem="0"/>
    <dataField name="Suma de Ventas_totales" fld="8" baseField="0" baseItem="0" numFmtId="165"/>
  </dataFields>
  <formats count="1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ED784-462D-405E-A307-379C6D01F1F9}" name="TablaDinámica5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E15:G18" firstHeaderRow="0" firstDataRow="1" firstDataCol="1"/>
  <pivotFields count="12">
    <pivotField showAll="0"/>
    <pivotField numFmtId="14" showAll="0"/>
    <pivotField showAll="0"/>
    <pivotField axis="axisRow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  <pivotField dataField="1" numFmtId="164" showAll="0"/>
    <pivotField showAll="0"/>
    <pivotField showAll="0"/>
    <pivotField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s_totales" fld="8" baseField="0" baseItem="0" numFmtId="165"/>
    <dataField name="Suma de Unidades" fld="4" baseField="0" baseItem="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8"/>
  <sheetViews>
    <sheetView workbookViewId="0">
      <selection activeCell="L7" sqref="L7"/>
    </sheetView>
  </sheetViews>
  <sheetFormatPr baseColWidth="10" defaultColWidth="9.140625" defaultRowHeight="15" x14ac:dyDescent="0.25"/>
  <cols>
    <col min="1" max="1" width="10.42578125" customWidth="1"/>
    <col min="2" max="2" width="14" style="3" customWidth="1"/>
    <col min="3" max="3" width="15.28515625" customWidth="1"/>
    <col min="4" max="4" width="18" customWidth="1"/>
    <col min="5" max="5" width="10" customWidth="1"/>
    <col min="6" max="6" width="16" style="5" customWidth="1"/>
    <col min="7" max="7" width="11.42578125" customWidth="1"/>
    <col min="8" max="8" width="12.85546875" customWidth="1"/>
    <col min="9" max="9" width="15.28515625" customWidth="1"/>
  </cols>
  <sheetData>
    <row r="1" spans="1:14" x14ac:dyDescent="0.25">
      <c r="A1" s="1" t="s">
        <v>15</v>
      </c>
      <c r="B1" s="2" t="s">
        <v>16</v>
      </c>
      <c r="C1" s="1" t="s">
        <v>17</v>
      </c>
      <c r="D1" s="1" t="s">
        <v>18</v>
      </c>
      <c r="E1" s="1" t="s">
        <v>19</v>
      </c>
      <c r="F1" s="4" t="s">
        <v>20</v>
      </c>
      <c r="G1" s="1" t="s">
        <v>21</v>
      </c>
      <c r="H1" s="1" t="s">
        <v>22</v>
      </c>
      <c r="I1" s="6" t="s">
        <v>23</v>
      </c>
      <c r="J1" s="6" t="s">
        <v>24</v>
      </c>
      <c r="K1" s="6" t="s">
        <v>25</v>
      </c>
    </row>
    <row r="2" spans="1:14" x14ac:dyDescent="0.25">
      <c r="A2">
        <v>1</v>
      </c>
      <c r="B2" s="3">
        <v>45394</v>
      </c>
      <c r="C2" t="s">
        <v>0</v>
      </c>
      <c r="D2" t="s">
        <v>8</v>
      </c>
      <c r="E2">
        <v>2</v>
      </c>
      <c r="F2" s="5">
        <v>193847</v>
      </c>
      <c r="G2">
        <v>1048</v>
      </c>
      <c r="H2" t="s">
        <v>10</v>
      </c>
      <c r="I2" s="5">
        <f>E2*F2</f>
        <v>387694</v>
      </c>
      <c r="J2">
        <f>MONTH(B2)</f>
        <v>4</v>
      </c>
      <c r="K2">
        <f>YEAR(B2)</f>
        <v>2024</v>
      </c>
    </row>
    <row r="3" spans="1:14" x14ac:dyDescent="0.25">
      <c r="A3">
        <v>2</v>
      </c>
      <c r="B3" s="3">
        <v>45640</v>
      </c>
      <c r="C3" t="s">
        <v>1</v>
      </c>
      <c r="D3" t="s">
        <v>8</v>
      </c>
      <c r="E3">
        <v>6</v>
      </c>
      <c r="F3" s="5">
        <v>226888</v>
      </c>
      <c r="G3">
        <v>1076</v>
      </c>
      <c r="H3" t="s">
        <v>11</v>
      </c>
      <c r="I3" s="5">
        <f>E3*F3</f>
        <v>1361328</v>
      </c>
      <c r="J3">
        <f>MONTH(B3)</f>
        <v>12</v>
      </c>
      <c r="K3">
        <f t="shared" ref="K3:K66" si="0">YEAR(B3)</f>
        <v>2024</v>
      </c>
    </row>
    <row r="4" spans="1:14" x14ac:dyDescent="0.25">
      <c r="A4">
        <v>17</v>
      </c>
      <c r="B4" s="3">
        <v>45441</v>
      </c>
      <c r="C4" t="s">
        <v>6</v>
      </c>
      <c r="D4" t="s">
        <v>8</v>
      </c>
      <c r="E4">
        <v>5</v>
      </c>
      <c r="F4" s="5">
        <v>165829</v>
      </c>
      <c r="G4">
        <v>1041</v>
      </c>
      <c r="H4" t="s">
        <v>10</v>
      </c>
      <c r="I4" s="5">
        <f t="shared" ref="I4:I67" si="1">E4*F4</f>
        <v>829145</v>
      </c>
      <c r="J4">
        <f t="shared" ref="J4:J67" si="2">MONTH(B4)</f>
        <v>5</v>
      </c>
      <c r="K4">
        <f t="shared" si="0"/>
        <v>2024</v>
      </c>
    </row>
    <row r="5" spans="1:14" x14ac:dyDescent="0.25">
      <c r="A5">
        <v>18</v>
      </c>
      <c r="B5" s="3">
        <v>45600</v>
      </c>
      <c r="C5" t="s">
        <v>5</v>
      </c>
      <c r="D5" t="s">
        <v>8</v>
      </c>
      <c r="E5">
        <v>14</v>
      </c>
      <c r="F5" s="5">
        <v>39636</v>
      </c>
      <c r="G5">
        <v>1060</v>
      </c>
      <c r="H5" t="s">
        <v>10</v>
      </c>
      <c r="I5" s="5">
        <f t="shared" si="1"/>
        <v>554904</v>
      </c>
      <c r="J5">
        <f t="shared" si="2"/>
        <v>11</v>
      </c>
      <c r="K5">
        <f t="shared" si="0"/>
        <v>2024</v>
      </c>
    </row>
    <row r="6" spans="1:14" x14ac:dyDescent="0.25">
      <c r="A6">
        <v>20</v>
      </c>
      <c r="B6" s="3">
        <v>45635</v>
      </c>
      <c r="C6" t="s">
        <v>6</v>
      </c>
      <c r="D6" t="s">
        <v>8</v>
      </c>
      <c r="E6">
        <v>12</v>
      </c>
      <c r="F6" s="5">
        <v>184352</v>
      </c>
      <c r="G6">
        <v>1055</v>
      </c>
      <c r="H6" t="s">
        <v>12</v>
      </c>
      <c r="I6" s="5">
        <f t="shared" si="1"/>
        <v>2212224</v>
      </c>
      <c r="J6">
        <f t="shared" si="2"/>
        <v>12</v>
      </c>
      <c r="K6">
        <f t="shared" si="0"/>
        <v>2024</v>
      </c>
      <c r="L6" s="8"/>
      <c r="M6" s="9"/>
      <c r="N6" s="10"/>
    </row>
    <row r="7" spans="1:14" x14ac:dyDescent="0.25">
      <c r="A7">
        <v>21</v>
      </c>
      <c r="B7" s="3">
        <v>45585</v>
      </c>
      <c r="C7" t="s">
        <v>4</v>
      </c>
      <c r="D7" t="s">
        <v>8</v>
      </c>
      <c r="E7">
        <v>12</v>
      </c>
      <c r="F7" s="5">
        <v>291406</v>
      </c>
      <c r="G7">
        <v>1035</v>
      </c>
      <c r="H7" t="s">
        <v>12</v>
      </c>
      <c r="I7" s="5">
        <f t="shared" si="1"/>
        <v>3496872</v>
      </c>
      <c r="J7">
        <f t="shared" si="2"/>
        <v>10</v>
      </c>
      <c r="K7">
        <f t="shared" si="0"/>
        <v>2024</v>
      </c>
      <c r="L7" s="11"/>
      <c r="M7" s="12"/>
      <c r="N7" s="13"/>
    </row>
    <row r="8" spans="1:14" x14ac:dyDescent="0.25">
      <c r="A8">
        <v>22</v>
      </c>
      <c r="B8" s="3">
        <v>45483</v>
      </c>
      <c r="C8" t="s">
        <v>5</v>
      </c>
      <c r="D8" t="s">
        <v>8</v>
      </c>
      <c r="E8">
        <v>11</v>
      </c>
      <c r="F8" s="5">
        <v>198283</v>
      </c>
      <c r="G8">
        <v>1083</v>
      </c>
      <c r="H8" t="s">
        <v>12</v>
      </c>
      <c r="I8" s="5">
        <f t="shared" si="1"/>
        <v>2181113</v>
      </c>
      <c r="J8">
        <f t="shared" si="2"/>
        <v>7</v>
      </c>
      <c r="K8">
        <f t="shared" si="0"/>
        <v>2024</v>
      </c>
      <c r="L8" s="11"/>
      <c r="M8" s="12"/>
      <c r="N8" s="13"/>
    </row>
    <row r="9" spans="1:14" x14ac:dyDescent="0.25">
      <c r="A9">
        <v>23</v>
      </c>
      <c r="B9" s="3">
        <v>45568</v>
      </c>
      <c r="C9" t="s">
        <v>3</v>
      </c>
      <c r="D9" t="s">
        <v>8</v>
      </c>
      <c r="E9">
        <v>11</v>
      </c>
      <c r="F9" s="5">
        <v>250596</v>
      </c>
      <c r="G9">
        <v>1067</v>
      </c>
      <c r="H9" t="s">
        <v>10</v>
      </c>
      <c r="I9" s="5">
        <f t="shared" si="1"/>
        <v>2756556</v>
      </c>
      <c r="J9">
        <f t="shared" si="2"/>
        <v>10</v>
      </c>
      <c r="K9">
        <f t="shared" si="0"/>
        <v>2024</v>
      </c>
      <c r="L9" s="11"/>
      <c r="M9" s="12"/>
      <c r="N9" s="13"/>
    </row>
    <row r="10" spans="1:14" x14ac:dyDescent="0.25">
      <c r="A10">
        <v>25</v>
      </c>
      <c r="B10" s="3">
        <v>45605</v>
      </c>
      <c r="C10" t="s">
        <v>0</v>
      </c>
      <c r="D10" t="s">
        <v>8</v>
      </c>
      <c r="E10">
        <v>10</v>
      </c>
      <c r="F10" s="5">
        <v>251584</v>
      </c>
      <c r="G10">
        <v>1053</v>
      </c>
      <c r="H10" t="s">
        <v>12</v>
      </c>
      <c r="I10" s="5">
        <f t="shared" si="1"/>
        <v>2515840</v>
      </c>
      <c r="J10">
        <f t="shared" si="2"/>
        <v>11</v>
      </c>
      <c r="K10">
        <f t="shared" si="0"/>
        <v>2024</v>
      </c>
      <c r="L10" s="11"/>
      <c r="M10" s="12"/>
      <c r="N10" s="13"/>
    </row>
    <row r="11" spans="1:14" x14ac:dyDescent="0.25">
      <c r="A11">
        <v>26</v>
      </c>
      <c r="B11" s="3">
        <v>45313</v>
      </c>
      <c r="C11" t="s">
        <v>2</v>
      </c>
      <c r="D11" t="s">
        <v>8</v>
      </c>
      <c r="E11">
        <v>11</v>
      </c>
      <c r="F11" s="5">
        <v>121953</v>
      </c>
      <c r="G11">
        <v>1000</v>
      </c>
      <c r="H11" t="s">
        <v>11</v>
      </c>
      <c r="I11" s="5">
        <f t="shared" si="1"/>
        <v>1341483</v>
      </c>
      <c r="J11">
        <f t="shared" si="2"/>
        <v>1</v>
      </c>
      <c r="K11">
        <f t="shared" si="0"/>
        <v>2024</v>
      </c>
      <c r="L11" s="11"/>
      <c r="M11" s="12"/>
      <c r="N11" s="13"/>
    </row>
    <row r="12" spans="1:14" x14ac:dyDescent="0.25">
      <c r="A12">
        <v>27</v>
      </c>
      <c r="B12" s="3">
        <v>45544</v>
      </c>
      <c r="C12" t="s">
        <v>5</v>
      </c>
      <c r="D12" t="s">
        <v>8</v>
      </c>
      <c r="E12">
        <v>4</v>
      </c>
      <c r="F12" s="5">
        <v>163448</v>
      </c>
      <c r="G12">
        <v>1043</v>
      </c>
      <c r="H12" t="s">
        <v>10</v>
      </c>
      <c r="I12" s="5">
        <f t="shared" si="1"/>
        <v>653792</v>
      </c>
      <c r="J12">
        <f t="shared" si="2"/>
        <v>9</v>
      </c>
      <c r="K12">
        <f t="shared" si="0"/>
        <v>2024</v>
      </c>
      <c r="L12" s="11"/>
      <c r="M12" s="12"/>
      <c r="N12" s="13"/>
    </row>
    <row r="13" spans="1:14" x14ac:dyDescent="0.25">
      <c r="A13">
        <v>29</v>
      </c>
      <c r="B13" s="3">
        <v>45636</v>
      </c>
      <c r="C13" t="s">
        <v>6</v>
      </c>
      <c r="D13" t="s">
        <v>8</v>
      </c>
      <c r="E13">
        <v>12</v>
      </c>
      <c r="F13" s="5">
        <v>150271</v>
      </c>
      <c r="G13">
        <v>1046</v>
      </c>
      <c r="H13" t="s">
        <v>11</v>
      </c>
      <c r="I13" s="5">
        <f t="shared" si="1"/>
        <v>1803252</v>
      </c>
      <c r="J13">
        <f t="shared" si="2"/>
        <v>12</v>
      </c>
      <c r="K13">
        <f t="shared" si="0"/>
        <v>2024</v>
      </c>
      <c r="L13" s="11"/>
      <c r="M13" s="12"/>
      <c r="N13" s="13"/>
    </row>
    <row r="14" spans="1:14" x14ac:dyDescent="0.25">
      <c r="A14">
        <v>30</v>
      </c>
      <c r="B14" s="3">
        <v>45340</v>
      </c>
      <c r="C14" t="s">
        <v>6</v>
      </c>
      <c r="D14" t="s">
        <v>8</v>
      </c>
      <c r="E14">
        <v>11</v>
      </c>
      <c r="F14" s="5">
        <v>123533</v>
      </c>
      <c r="G14">
        <v>1012</v>
      </c>
      <c r="H14" t="s">
        <v>10</v>
      </c>
      <c r="I14" s="5">
        <f t="shared" si="1"/>
        <v>1358863</v>
      </c>
      <c r="J14">
        <f t="shared" si="2"/>
        <v>2</v>
      </c>
      <c r="K14">
        <f t="shared" si="0"/>
        <v>2024</v>
      </c>
      <c r="L14" s="11"/>
      <c r="M14" s="12"/>
      <c r="N14" s="13"/>
    </row>
    <row r="15" spans="1:14" x14ac:dyDescent="0.25">
      <c r="A15">
        <v>31</v>
      </c>
      <c r="B15" s="3">
        <v>45350</v>
      </c>
      <c r="C15" t="s">
        <v>4</v>
      </c>
      <c r="D15" t="s">
        <v>8</v>
      </c>
      <c r="E15">
        <v>8</v>
      </c>
      <c r="F15" s="5">
        <v>78781</v>
      </c>
      <c r="G15">
        <v>1021</v>
      </c>
      <c r="H15" t="s">
        <v>10</v>
      </c>
      <c r="I15" s="5">
        <f t="shared" si="1"/>
        <v>630248</v>
      </c>
      <c r="J15">
        <f t="shared" si="2"/>
        <v>2</v>
      </c>
      <c r="K15">
        <f t="shared" si="0"/>
        <v>2024</v>
      </c>
      <c r="L15" s="11"/>
      <c r="M15" s="12"/>
      <c r="N15" s="13"/>
    </row>
    <row r="16" spans="1:14" x14ac:dyDescent="0.25">
      <c r="A16">
        <v>32</v>
      </c>
      <c r="B16" s="3">
        <v>45461</v>
      </c>
      <c r="C16" t="s">
        <v>1</v>
      </c>
      <c r="D16" t="s">
        <v>8</v>
      </c>
      <c r="E16">
        <v>12</v>
      </c>
      <c r="F16" s="5">
        <v>71262</v>
      </c>
      <c r="G16">
        <v>1020</v>
      </c>
      <c r="H16" t="s">
        <v>11</v>
      </c>
      <c r="I16" s="5">
        <f t="shared" si="1"/>
        <v>855144</v>
      </c>
      <c r="J16">
        <f t="shared" si="2"/>
        <v>6</v>
      </c>
      <c r="K16">
        <f t="shared" si="0"/>
        <v>2024</v>
      </c>
      <c r="L16" s="11"/>
      <c r="M16" s="12"/>
      <c r="N16" s="13"/>
    </row>
    <row r="17" spans="1:14" x14ac:dyDescent="0.25">
      <c r="A17">
        <v>33</v>
      </c>
      <c r="B17" s="3">
        <v>45479</v>
      </c>
      <c r="C17" t="s">
        <v>7</v>
      </c>
      <c r="D17" t="s">
        <v>9</v>
      </c>
      <c r="E17">
        <v>10</v>
      </c>
      <c r="F17" s="5">
        <v>81898</v>
      </c>
      <c r="G17">
        <v>1085</v>
      </c>
      <c r="H17" t="s">
        <v>11</v>
      </c>
      <c r="I17" s="5">
        <f t="shared" si="1"/>
        <v>818980</v>
      </c>
      <c r="J17">
        <f t="shared" si="2"/>
        <v>7</v>
      </c>
      <c r="K17">
        <f t="shared" si="0"/>
        <v>2024</v>
      </c>
      <c r="L17" s="11"/>
      <c r="M17" s="12"/>
      <c r="N17" s="13"/>
    </row>
    <row r="18" spans="1:14" x14ac:dyDescent="0.25">
      <c r="A18">
        <v>34</v>
      </c>
      <c r="B18" s="3">
        <v>45562</v>
      </c>
      <c r="C18" t="s">
        <v>2</v>
      </c>
      <c r="D18" t="s">
        <v>8</v>
      </c>
      <c r="E18">
        <v>3</v>
      </c>
      <c r="F18" s="5">
        <v>154369</v>
      </c>
      <c r="G18">
        <v>1091</v>
      </c>
      <c r="H18" t="s">
        <v>12</v>
      </c>
      <c r="I18" s="5">
        <f t="shared" si="1"/>
        <v>463107</v>
      </c>
      <c r="J18">
        <f t="shared" si="2"/>
        <v>9</v>
      </c>
      <c r="K18">
        <f t="shared" si="0"/>
        <v>2024</v>
      </c>
      <c r="L18" s="11"/>
      <c r="M18" s="12"/>
      <c r="N18" s="13"/>
    </row>
    <row r="19" spans="1:14" x14ac:dyDescent="0.25">
      <c r="A19">
        <v>36</v>
      </c>
      <c r="B19" s="3">
        <v>45466</v>
      </c>
      <c r="C19" t="s">
        <v>5</v>
      </c>
      <c r="D19" t="s">
        <v>8</v>
      </c>
      <c r="E19">
        <v>12</v>
      </c>
      <c r="F19" s="5">
        <v>293316</v>
      </c>
      <c r="G19">
        <v>1025</v>
      </c>
      <c r="H19" t="s">
        <v>10</v>
      </c>
      <c r="I19" s="5">
        <f t="shared" si="1"/>
        <v>3519792</v>
      </c>
      <c r="J19">
        <f t="shared" si="2"/>
        <v>6</v>
      </c>
      <c r="K19">
        <f t="shared" si="0"/>
        <v>2024</v>
      </c>
      <c r="L19" s="11"/>
      <c r="M19" s="12"/>
      <c r="N19" s="13"/>
    </row>
    <row r="20" spans="1:14" x14ac:dyDescent="0.25">
      <c r="A20">
        <v>37</v>
      </c>
      <c r="B20" s="3">
        <v>45342</v>
      </c>
      <c r="C20" t="s">
        <v>2</v>
      </c>
      <c r="D20" t="s">
        <v>8</v>
      </c>
      <c r="E20">
        <v>2</v>
      </c>
      <c r="F20" s="5">
        <v>12657</v>
      </c>
      <c r="G20">
        <v>1008</v>
      </c>
      <c r="H20" t="s">
        <v>12</v>
      </c>
      <c r="I20" s="5">
        <f t="shared" si="1"/>
        <v>25314</v>
      </c>
      <c r="J20">
        <f t="shared" si="2"/>
        <v>2</v>
      </c>
      <c r="K20">
        <f t="shared" si="0"/>
        <v>2024</v>
      </c>
      <c r="L20" s="11"/>
      <c r="M20" s="12"/>
      <c r="N20" s="13"/>
    </row>
    <row r="21" spans="1:14" x14ac:dyDescent="0.25">
      <c r="A21">
        <v>38</v>
      </c>
      <c r="B21" s="3">
        <v>45655</v>
      </c>
      <c r="C21" t="s">
        <v>5</v>
      </c>
      <c r="D21" t="s">
        <v>8</v>
      </c>
      <c r="E21">
        <v>7</v>
      </c>
      <c r="F21" s="5">
        <v>261689</v>
      </c>
      <c r="G21">
        <v>1014</v>
      </c>
      <c r="H21" t="s">
        <v>12</v>
      </c>
      <c r="I21" s="5">
        <f t="shared" si="1"/>
        <v>1831823</v>
      </c>
      <c r="J21">
        <f t="shared" si="2"/>
        <v>12</v>
      </c>
      <c r="K21">
        <f t="shared" si="0"/>
        <v>2024</v>
      </c>
      <c r="L21" s="11"/>
      <c r="M21" s="12"/>
      <c r="N21" s="13"/>
    </row>
    <row r="22" spans="1:14" x14ac:dyDescent="0.25">
      <c r="A22">
        <v>39</v>
      </c>
      <c r="B22" s="3">
        <v>45346</v>
      </c>
      <c r="C22" t="s">
        <v>1</v>
      </c>
      <c r="D22" t="s">
        <v>8</v>
      </c>
      <c r="E22">
        <v>4</v>
      </c>
      <c r="F22" s="5">
        <v>164903</v>
      </c>
      <c r="G22">
        <v>1009</v>
      </c>
      <c r="H22" t="s">
        <v>12</v>
      </c>
      <c r="I22" s="5">
        <f t="shared" si="1"/>
        <v>659612</v>
      </c>
      <c r="J22">
        <f t="shared" si="2"/>
        <v>2</v>
      </c>
      <c r="K22">
        <f t="shared" si="0"/>
        <v>2024</v>
      </c>
      <c r="L22" s="11"/>
      <c r="M22" s="12"/>
      <c r="N22" s="13"/>
    </row>
    <row r="23" spans="1:14" x14ac:dyDescent="0.25">
      <c r="A23">
        <v>40</v>
      </c>
      <c r="B23" s="3">
        <v>45535</v>
      </c>
      <c r="C23" t="s">
        <v>3</v>
      </c>
      <c r="D23" t="s">
        <v>8</v>
      </c>
      <c r="E23">
        <v>14</v>
      </c>
      <c r="F23" s="5">
        <v>12906</v>
      </c>
      <c r="G23">
        <v>1087</v>
      </c>
      <c r="H23" t="s">
        <v>12</v>
      </c>
      <c r="I23" s="5">
        <f t="shared" si="1"/>
        <v>180684</v>
      </c>
      <c r="J23">
        <f t="shared" si="2"/>
        <v>8</v>
      </c>
      <c r="K23">
        <f t="shared" si="0"/>
        <v>2024</v>
      </c>
      <c r="L23" s="14"/>
      <c r="M23" s="15"/>
      <c r="N23" s="16"/>
    </row>
    <row r="24" spans="1:14" x14ac:dyDescent="0.25">
      <c r="A24">
        <v>41</v>
      </c>
      <c r="B24" s="3">
        <v>45611</v>
      </c>
      <c r="C24" t="s">
        <v>2</v>
      </c>
      <c r="D24" t="s">
        <v>8</v>
      </c>
      <c r="E24">
        <v>4</v>
      </c>
      <c r="F24" s="5">
        <v>59028</v>
      </c>
      <c r="G24">
        <v>1041</v>
      </c>
      <c r="H24" t="s">
        <v>11</v>
      </c>
      <c r="I24" s="5">
        <f t="shared" si="1"/>
        <v>236112</v>
      </c>
      <c r="J24">
        <f t="shared" si="2"/>
        <v>11</v>
      </c>
      <c r="K24">
        <f t="shared" si="0"/>
        <v>2024</v>
      </c>
    </row>
    <row r="25" spans="1:14" x14ac:dyDescent="0.25">
      <c r="A25">
        <v>42</v>
      </c>
      <c r="B25" s="3">
        <v>45422</v>
      </c>
      <c r="C25" t="s">
        <v>0</v>
      </c>
      <c r="D25" t="s">
        <v>8</v>
      </c>
      <c r="E25">
        <v>9</v>
      </c>
      <c r="F25" s="5">
        <v>274431</v>
      </c>
      <c r="G25">
        <v>1071</v>
      </c>
      <c r="H25" t="s">
        <v>10</v>
      </c>
      <c r="I25" s="5">
        <f t="shared" si="1"/>
        <v>2469879</v>
      </c>
      <c r="J25">
        <f t="shared" si="2"/>
        <v>5</v>
      </c>
      <c r="K25">
        <f t="shared" si="0"/>
        <v>2024</v>
      </c>
    </row>
    <row r="26" spans="1:14" x14ac:dyDescent="0.25">
      <c r="A26">
        <v>43</v>
      </c>
      <c r="B26" s="3">
        <v>45598</v>
      </c>
      <c r="C26" t="s">
        <v>6</v>
      </c>
      <c r="D26" t="s">
        <v>8</v>
      </c>
      <c r="E26">
        <v>14</v>
      </c>
      <c r="F26" s="5">
        <v>195792</v>
      </c>
      <c r="G26">
        <v>1023</v>
      </c>
      <c r="H26" t="s">
        <v>12</v>
      </c>
      <c r="I26" s="5">
        <f t="shared" si="1"/>
        <v>2741088</v>
      </c>
      <c r="J26">
        <f t="shared" si="2"/>
        <v>11</v>
      </c>
      <c r="K26">
        <f t="shared" si="0"/>
        <v>2024</v>
      </c>
    </row>
    <row r="27" spans="1:14" x14ac:dyDescent="0.25">
      <c r="A27">
        <v>44</v>
      </c>
      <c r="B27" s="3">
        <v>45426</v>
      </c>
      <c r="C27" t="s">
        <v>2</v>
      </c>
      <c r="D27" t="s">
        <v>8</v>
      </c>
      <c r="E27">
        <v>10</v>
      </c>
      <c r="F27" s="5">
        <v>107979</v>
      </c>
      <c r="G27">
        <v>1079</v>
      </c>
      <c r="H27" t="s">
        <v>11</v>
      </c>
      <c r="I27" s="5">
        <f t="shared" si="1"/>
        <v>1079790</v>
      </c>
      <c r="J27">
        <f t="shared" si="2"/>
        <v>5</v>
      </c>
      <c r="K27">
        <f t="shared" si="0"/>
        <v>2024</v>
      </c>
    </row>
    <row r="28" spans="1:14" x14ac:dyDescent="0.25">
      <c r="A28">
        <v>45</v>
      </c>
      <c r="B28" s="3">
        <v>45312</v>
      </c>
      <c r="C28" t="s">
        <v>2</v>
      </c>
      <c r="D28" t="s">
        <v>8</v>
      </c>
      <c r="E28">
        <v>1</v>
      </c>
      <c r="F28" s="5">
        <v>39701</v>
      </c>
      <c r="G28">
        <v>1048</v>
      </c>
      <c r="H28" t="s">
        <v>11</v>
      </c>
      <c r="I28" s="5">
        <f t="shared" si="1"/>
        <v>39701</v>
      </c>
      <c r="J28">
        <f t="shared" si="2"/>
        <v>1</v>
      </c>
      <c r="K28">
        <f t="shared" si="0"/>
        <v>2024</v>
      </c>
    </row>
    <row r="29" spans="1:14" x14ac:dyDescent="0.25">
      <c r="A29">
        <v>46</v>
      </c>
      <c r="B29" s="3">
        <v>45620</v>
      </c>
      <c r="C29" t="s">
        <v>2</v>
      </c>
      <c r="D29" t="s">
        <v>8</v>
      </c>
      <c r="E29">
        <v>7</v>
      </c>
      <c r="F29" s="5">
        <v>88300</v>
      </c>
      <c r="G29">
        <v>1025</v>
      </c>
      <c r="H29" t="s">
        <v>11</v>
      </c>
      <c r="I29" s="5">
        <f t="shared" si="1"/>
        <v>618100</v>
      </c>
      <c r="J29">
        <f t="shared" si="2"/>
        <v>11</v>
      </c>
      <c r="K29">
        <f t="shared" si="0"/>
        <v>2024</v>
      </c>
    </row>
    <row r="30" spans="1:14" x14ac:dyDescent="0.25">
      <c r="A30">
        <v>48</v>
      </c>
      <c r="B30" s="3">
        <v>45565</v>
      </c>
      <c r="C30" t="s">
        <v>2</v>
      </c>
      <c r="D30" t="s">
        <v>8</v>
      </c>
      <c r="E30">
        <v>6</v>
      </c>
      <c r="F30" s="5">
        <v>153746</v>
      </c>
      <c r="G30">
        <v>1036</v>
      </c>
      <c r="H30" t="s">
        <v>12</v>
      </c>
      <c r="I30" s="5">
        <f t="shared" si="1"/>
        <v>922476</v>
      </c>
      <c r="J30">
        <f t="shared" si="2"/>
        <v>9</v>
      </c>
      <c r="K30">
        <f t="shared" si="0"/>
        <v>2024</v>
      </c>
    </row>
    <row r="31" spans="1:14" x14ac:dyDescent="0.25">
      <c r="A31">
        <v>49</v>
      </c>
      <c r="B31" s="3">
        <v>45380</v>
      </c>
      <c r="C31" t="s">
        <v>5</v>
      </c>
      <c r="D31" t="s">
        <v>8</v>
      </c>
      <c r="E31">
        <v>10</v>
      </c>
      <c r="F31" s="5">
        <v>88560</v>
      </c>
      <c r="G31">
        <v>1067</v>
      </c>
      <c r="H31" t="s">
        <v>10</v>
      </c>
      <c r="I31" s="5">
        <f t="shared" si="1"/>
        <v>885600</v>
      </c>
      <c r="J31">
        <f t="shared" si="2"/>
        <v>3</v>
      </c>
      <c r="K31">
        <f t="shared" si="0"/>
        <v>2024</v>
      </c>
    </row>
    <row r="32" spans="1:14" x14ac:dyDescent="0.25">
      <c r="A32">
        <v>50</v>
      </c>
      <c r="B32" s="3">
        <v>45607</v>
      </c>
      <c r="C32" t="s">
        <v>3</v>
      </c>
      <c r="D32" t="s">
        <v>8</v>
      </c>
      <c r="E32">
        <v>12</v>
      </c>
      <c r="F32" s="5">
        <v>247615</v>
      </c>
      <c r="G32">
        <v>1049</v>
      </c>
      <c r="H32" t="s">
        <v>12</v>
      </c>
      <c r="I32" s="5">
        <f t="shared" si="1"/>
        <v>2971380</v>
      </c>
      <c r="J32">
        <f t="shared" si="2"/>
        <v>11</v>
      </c>
      <c r="K32">
        <f t="shared" si="0"/>
        <v>2024</v>
      </c>
    </row>
    <row r="33" spans="1:11" x14ac:dyDescent="0.25">
      <c r="A33">
        <v>51</v>
      </c>
      <c r="B33" s="3">
        <v>45305</v>
      </c>
      <c r="C33" t="s">
        <v>1</v>
      </c>
      <c r="D33" t="s">
        <v>8</v>
      </c>
      <c r="E33">
        <v>1</v>
      </c>
      <c r="F33" s="5">
        <v>48642</v>
      </c>
      <c r="G33">
        <v>1023</v>
      </c>
      <c r="H33" t="s">
        <v>12</v>
      </c>
      <c r="I33" s="5">
        <f t="shared" si="1"/>
        <v>48642</v>
      </c>
      <c r="J33">
        <f t="shared" si="2"/>
        <v>1</v>
      </c>
      <c r="K33">
        <f t="shared" si="0"/>
        <v>2024</v>
      </c>
    </row>
    <row r="34" spans="1:11" x14ac:dyDescent="0.25">
      <c r="A34">
        <v>52</v>
      </c>
      <c r="B34" s="3">
        <v>45533</v>
      </c>
      <c r="C34" t="s">
        <v>4</v>
      </c>
      <c r="D34" t="s">
        <v>8</v>
      </c>
      <c r="E34">
        <v>12</v>
      </c>
      <c r="F34" s="5">
        <v>284746</v>
      </c>
      <c r="G34">
        <v>1018</v>
      </c>
      <c r="H34" t="s">
        <v>11</v>
      </c>
      <c r="I34" s="5">
        <f t="shared" si="1"/>
        <v>3416952</v>
      </c>
      <c r="J34">
        <f t="shared" si="2"/>
        <v>8</v>
      </c>
      <c r="K34">
        <f t="shared" si="0"/>
        <v>2024</v>
      </c>
    </row>
    <row r="35" spans="1:11" x14ac:dyDescent="0.25">
      <c r="A35">
        <v>54</v>
      </c>
      <c r="B35" s="3">
        <v>45637</v>
      </c>
      <c r="C35" t="s">
        <v>6</v>
      </c>
      <c r="D35" t="s">
        <v>8</v>
      </c>
      <c r="E35">
        <v>12</v>
      </c>
      <c r="F35" s="5">
        <v>293075</v>
      </c>
      <c r="G35">
        <v>1059</v>
      </c>
      <c r="H35" t="s">
        <v>12</v>
      </c>
      <c r="I35" s="5">
        <f t="shared" si="1"/>
        <v>3516900</v>
      </c>
      <c r="J35">
        <f t="shared" si="2"/>
        <v>12</v>
      </c>
      <c r="K35">
        <f t="shared" si="0"/>
        <v>2024</v>
      </c>
    </row>
    <row r="36" spans="1:11" x14ac:dyDescent="0.25">
      <c r="A36">
        <v>55</v>
      </c>
      <c r="B36" s="3">
        <v>45344</v>
      </c>
      <c r="C36" t="s">
        <v>2</v>
      </c>
      <c r="D36" t="s">
        <v>8</v>
      </c>
      <c r="E36">
        <v>5</v>
      </c>
      <c r="F36" s="5">
        <v>99377</v>
      </c>
      <c r="G36">
        <v>1038</v>
      </c>
      <c r="H36" t="s">
        <v>12</v>
      </c>
      <c r="I36" s="5">
        <f t="shared" si="1"/>
        <v>496885</v>
      </c>
      <c r="J36">
        <f t="shared" si="2"/>
        <v>2</v>
      </c>
      <c r="K36">
        <f t="shared" si="0"/>
        <v>2024</v>
      </c>
    </row>
    <row r="37" spans="1:11" x14ac:dyDescent="0.25">
      <c r="A37">
        <v>56</v>
      </c>
      <c r="B37" s="3">
        <v>45631</v>
      </c>
      <c r="C37" t="s">
        <v>6</v>
      </c>
      <c r="D37" t="s">
        <v>8</v>
      </c>
      <c r="E37">
        <v>5</v>
      </c>
      <c r="F37" s="5">
        <v>296336</v>
      </c>
      <c r="G37">
        <v>1073</v>
      </c>
      <c r="H37" t="s">
        <v>11</v>
      </c>
      <c r="I37" s="5">
        <f t="shared" si="1"/>
        <v>1481680</v>
      </c>
      <c r="J37">
        <f t="shared" si="2"/>
        <v>12</v>
      </c>
      <c r="K37">
        <f t="shared" si="0"/>
        <v>2024</v>
      </c>
    </row>
    <row r="38" spans="1:11" x14ac:dyDescent="0.25">
      <c r="A38">
        <v>57</v>
      </c>
      <c r="B38" s="3">
        <v>45383</v>
      </c>
      <c r="C38" t="s">
        <v>5</v>
      </c>
      <c r="D38" t="s">
        <v>8</v>
      </c>
      <c r="E38">
        <v>14</v>
      </c>
      <c r="F38" s="5">
        <v>86121</v>
      </c>
      <c r="G38">
        <v>1088</v>
      </c>
      <c r="H38" t="s">
        <v>11</v>
      </c>
      <c r="I38" s="5">
        <f t="shared" si="1"/>
        <v>1205694</v>
      </c>
      <c r="J38">
        <f t="shared" si="2"/>
        <v>4</v>
      </c>
      <c r="K38">
        <f t="shared" si="0"/>
        <v>2024</v>
      </c>
    </row>
    <row r="39" spans="1:11" x14ac:dyDescent="0.25">
      <c r="A39">
        <v>58</v>
      </c>
      <c r="B39" s="3">
        <v>45555</v>
      </c>
      <c r="C39" t="s">
        <v>6</v>
      </c>
      <c r="D39" t="s">
        <v>8</v>
      </c>
      <c r="E39">
        <v>9</v>
      </c>
      <c r="F39" s="5">
        <v>30559</v>
      </c>
      <c r="G39">
        <v>1017</v>
      </c>
      <c r="H39" t="s">
        <v>12</v>
      </c>
      <c r="I39" s="5">
        <f t="shared" si="1"/>
        <v>275031</v>
      </c>
      <c r="J39">
        <f t="shared" si="2"/>
        <v>9</v>
      </c>
      <c r="K39">
        <f t="shared" si="0"/>
        <v>2024</v>
      </c>
    </row>
    <row r="40" spans="1:11" x14ac:dyDescent="0.25">
      <c r="A40">
        <v>59</v>
      </c>
      <c r="B40" s="3">
        <v>45326</v>
      </c>
      <c r="C40" t="s">
        <v>0</v>
      </c>
      <c r="D40" t="s">
        <v>8</v>
      </c>
      <c r="E40">
        <v>7</v>
      </c>
      <c r="F40" s="5">
        <v>38742</v>
      </c>
      <c r="G40">
        <v>1018</v>
      </c>
      <c r="H40" t="s">
        <v>10</v>
      </c>
      <c r="I40" s="5">
        <f t="shared" si="1"/>
        <v>271194</v>
      </c>
      <c r="J40">
        <f t="shared" si="2"/>
        <v>2</v>
      </c>
      <c r="K40">
        <f t="shared" si="0"/>
        <v>2024</v>
      </c>
    </row>
    <row r="41" spans="1:11" x14ac:dyDescent="0.25">
      <c r="A41">
        <v>60</v>
      </c>
      <c r="B41" s="3">
        <v>45497</v>
      </c>
      <c r="C41" t="s">
        <v>4</v>
      </c>
      <c r="D41" t="s">
        <v>8</v>
      </c>
      <c r="E41">
        <v>6</v>
      </c>
      <c r="F41" s="5">
        <v>157826</v>
      </c>
      <c r="G41">
        <v>1035</v>
      </c>
      <c r="H41" t="s">
        <v>10</v>
      </c>
      <c r="I41" s="5">
        <f t="shared" si="1"/>
        <v>946956</v>
      </c>
      <c r="J41">
        <f t="shared" si="2"/>
        <v>7</v>
      </c>
      <c r="K41">
        <f t="shared" si="0"/>
        <v>2024</v>
      </c>
    </row>
    <row r="42" spans="1:11" x14ac:dyDescent="0.25">
      <c r="A42">
        <v>61</v>
      </c>
      <c r="B42" s="3">
        <v>45372</v>
      </c>
      <c r="C42" t="s">
        <v>3</v>
      </c>
      <c r="D42" t="s">
        <v>8</v>
      </c>
      <c r="E42">
        <v>2</v>
      </c>
      <c r="F42" s="5">
        <v>140044</v>
      </c>
      <c r="G42">
        <v>1073</v>
      </c>
      <c r="H42" t="s">
        <v>11</v>
      </c>
      <c r="I42" s="5">
        <f t="shared" si="1"/>
        <v>280088</v>
      </c>
      <c r="J42">
        <f t="shared" si="2"/>
        <v>3</v>
      </c>
      <c r="K42">
        <f t="shared" si="0"/>
        <v>2024</v>
      </c>
    </row>
    <row r="43" spans="1:11" x14ac:dyDescent="0.25">
      <c r="A43">
        <v>62</v>
      </c>
      <c r="B43" s="3">
        <v>45341</v>
      </c>
      <c r="C43" t="s">
        <v>6</v>
      </c>
      <c r="D43" t="s">
        <v>8</v>
      </c>
      <c r="E43">
        <v>3</v>
      </c>
      <c r="F43" s="5">
        <v>117217</v>
      </c>
      <c r="G43">
        <v>1096</v>
      </c>
      <c r="H43" t="s">
        <v>11</v>
      </c>
      <c r="I43" s="5">
        <f t="shared" si="1"/>
        <v>351651</v>
      </c>
      <c r="J43">
        <f t="shared" si="2"/>
        <v>2</v>
      </c>
      <c r="K43">
        <f t="shared" si="0"/>
        <v>2024</v>
      </c>
    </row>
    <row r="44" spans="1:11" x14ac:dyDescent="0.25">
      <c r="A44">
        <v>64</v>
      </c>
      <c r="B44" s="3">
        <v>45293</v>
      </c>
      <c r="C44" t="s">
        <v>3</v>
      </c>
      <c r="D44" t="s">
        <v>8</v>
      </c>
      <c r="E44">
        <v>10</v>
      </c>
      <c r="F44" s="5">
        <v>139092</v>
      </c>
      <c r="G44">
        <v>1068</v>
      </c>
      <c r="H44" t="s">
        <v>11</v>
      </c>
      <c r="I44" s="5">
        <f t="shared" si="1"/>
        <v>1390920</v>
      </c>
      <c r="J44">
        <f t="shared" si="2"/>
        <v>1</v>
      </c>
      <c r="K44">
        <f t="shared" si="0"/>
        <v>2024</v>
      </c>
    </row>
    <row r="45" spans="1:11" x14ac:dyDescent="0.25">
      <c r="A45">
        <v>65</v>
      </c>
      <c r="B45" s="3">
        <v>45345</v>
      </c>
      <c r="C45" t="s">
        <v>4</v>
      </c>
      <c r="D45" t="s">
        <v>8</v>
      </c>
      <c r="E45">
        <v>3</v>
      </c>
      <c r="F45" s="5">
        <v>91988</v>
      </c>
      <c r="G45">
        <v>1046</v>
      </c>
      <c r="H45" t="s">
        <v>12</v>
      </c>
      <c r="I45" s="5">
        <f t="shared" si="1"/>
        <v>275964</v>
      </c>
      <c r="J45">
        <f t="shared" si="2"/>
        <v>2</v>
      </c>
      <c r="K45">
        <f t="shared" si="0"/>
        <v>2024</v>
      </c>
    </row>
    <row r="46" spans="1:11" x14ac:dyDescent="0.25">
      <c r="A46">
        <v>66</v>
      </c>
      <c r="B46" s="3">
        <v>45397</v>
      </c>
      <c r="C46" t="s">
        <v>2</v>
      </c>
      <c r="D46" t="s">
        <v>8</v>
      </c>
      <c r="E46">
        <v>2</v>
      </c>
      <c r="F46" s="5">
        <v>50648</v>
      </c>
      <c r="G46">
        <v>1048</v>
      </c>
      <c r="H46" t="s">
        <v>10</v>
      </c>
      <c r="I46" s="5">
        <f t="shared" si="1"/>
        <v>101296</v>
      </c>
      <c r="J46">
        <f t="shared" si="2"/>
        <v>4</v>
      </c>
      <c r="K46">
        <f t="shared" si="0"/>
        <v>2024</v>
      </c>
    </row>
    <row r="47" spans="1:11" x14ac:dyDescent="0.25">
      <c r="A47">
        <v>68</v>
      </c>
      <c r="B47" s="3">
        <v>45601</v>
      </c>
      <c r="C47" t="s">
        <v>3</v>
      </c>
      <c r="D47" t="s">
        <v>8</v>
      </c>
      <c r="E47">
        <v>3</v>
      </c>
      <c r="F47" s="5">
        <v>7396</v>
      </c>
      <c r="G47">
        <v>1097</v>
      </c>
      <c r="H47" t="s">
        <v>12</v>
      </c>
      <c r="I47" s="5">
        <f t="shared" si="1"/>
        <v>22188</v>
      </c>
      <c r="J47">
        <f t="shared" si="2"/>
        <v>11</v>
      </c>
      <c r="K47">
        <f t="shared" si="0"/>
        <v>2024</v>
      </c>
    </row>
    <row r="48" spans="1:11" x14ac:dyDescent="0.25">
      <c r="A48">
        <v>69</v>
      </c>
      <c r="B48" s="3">
        <v>45482</v>
      </c>
      <c r="C48" t="s">
        <v>0</v>
      </c>
      <c r="D48" t="s">
        <v>8</v>
      </c>
      <c r="E48">
        <v>3</v>
      </c>
      <c r="F48" s="5">
        <v>89082</v>
      </c>
      <c r="G48">
        <v>1032</v>
      </c>
      <c r="H48" t="s">
        <v>11</v>
      </c>
      <c r="I48" s="5">
        <f t="shared" si="1"/>
        <v>267246</v>
      </c>
      <c r="J48">
        <f t="shared" si="2"/>
        <v>7</v>
      </c>
      <c r="K48">
        <f t="shared" si="0"/>
        <v>2024</v>
      </c>
    </row>
    <row r="49" spans="1:11" x14ac:dyDescent="0.25">
      <c r="A49">
        <v>70</v>
      </c>
      <c r="B49" s="3">
        <v>45509</v>
      </c>
      <c r="C49" t="s">
        <v>0</v>
      </c>
      <c r="D49" t="s">
        <v>8</v>
      </c>
      <c r="E49">
        <v>13</v>
      </c>
      <c r="F49" s="5">
        <v>133322</v>
      </c>
      <c r="G49">
        <v>1020</v>
      </c>
      <c r="H49" t="s">
        <v>10</v>
      </c>
      <c r="I49" s="5">
        <f t="shared" si="1"/>
        <v>1733186</v>
      </c>
      <c r="J49">
        <f t="shared" si="2"/>
        <v>8</v>
      </c>
      <c r="K49">
        <f t="shared" si="0"/>
        <v>2024</v>
      </c>
    </row>
    <row r="50" spans="1:11" x14ac:dyDescent="0.25">
      <c r="A50">
        <v>71</v>
      </c>
      <c r="B50" s="3">
        <v>45335</v>
      </c>
      <c r="C50" t="s">
        <v>5</v>
      </c>
      <c r="D50" t="s">
        <v>8</v>
      </c>
      <c r="E50">
        <v>1</v>
      </c>
      <c r="F50" s="5">
        <v>137663</v>
      </c>
      <c r="G50">
        <v>1080</v>
      </c>
      <c r="H50" t="s">
        <v>11</v>
      </c>
      <c r="I50" s="5">
        <f t="shared" si="1"/>
        <v>137663</v>
      </c>
      <c r="J50">
        <f t="shared" si="2"/>
        <v>2</v>
      </c>
      <c r="K50">
        <f t="shared" si="0"/>
        <v>2024</v>
      </c>
    </row>
    <row r="51" spans="1:11" x14ac:dyDescent="0.25">
      <c r="A51">
        <v>72</v>
      </c>
      <c r="B51" s="3">
        <v>45453</v>
      </c>
      <c r="C51" t="s">
        <v>3</v>
      </c>
      <c r="D51" t="s">
        <v>8</v>
      </c>
      <c r="E51">
        <v>8</v>
      </c>
      <c r="F51" s="5">
        <v>16303</v>
      </c>
      <c r="G51">
        <v>1021</v>
      </c>
      <c r="H51" t="s">
        <v>10</v>
      </c>
      <c r="I51" s="5">
        <f t="shared" si="1"/>
        <v>130424</v>
      </c>
      <c r="J51">
        <f t="shared" si="2"/>
        <v>6</v>
      </c>
      <c r="K51">
        <f t="shared" si="0"/>
        <v>2024</v>
      </c>
    </row>
    <row r="52" spans="1:11" x14ac:dyDescent="0.25">
      <c r="A52">
        <v>73</v>
      </c>
      <c r="B52" s="3">
        <v>45493</v>
      </c>
      <c r="C52" t="s">
        <v>5</v>
      </c>
      <c r="D52" t="s">
        <v>8</v>
      </c>
      <c r="E52">
        <v>6</v>
      </c>
      <c r="F52" s="5">
        <v>166633</v>
      </c>
      <c r="G52">
        <v>1047</v>
      </c>
      <c r="H52" t="s">
        <v>12</v>
      </c>
      <c r="I52" s="5">
        <f t="shared" si="1"/>
        <v>999798</v>
      </c>
      <c r="J52">
        <f t="shared" si="2"/>
        <v>7</v>
      </c>
      <c r="K52">
        <f t="shared" si="0"/>
        <v>2024</v>
      </c>
    </row>
    <row r="53" spans="1:11" x14ac:dyDescent="0.25">
      <c r="A53">
        <v>75</v>
      </c>
      <c r="B53" s="3">
        <v>45642</v>
      </c>
      <c r="C53" t="s">
        <v>4</v>
      </c>
      <c r="D53" t="s">
        <v>8</v>
      </c>
      <c r="E53">
        <v>5</v>
      </c>
      <c r="F53" s="5">
        <v>264820</v>
      </c>
      <c r="G53">
        <v>1014</v>
      </c>
      <c r="H53" t="s">
        <v>12</v>
      </c>
      <c r="I53" s="5">
        <f t="shared" si="1"/>
        <v>1324100</v>
      </c>
      <c r="J53">
        <f t="shared" si="2"/>
        <v>12</v>
      </c>
      <c r="K53">
        <f t="shared" si="0"/>
        <v>2024</v>
      </c>
    </row>
    <row r="54" spans="1:11" x14ac:dyDescent="0.25">
      <c r="A54">
        <v>76</v>
      </c>
      <c r="B54" s="3">
        <v>45595</v>
      </c>
      <c r="C54" t="s">
        <v>2</v>
      </c>
      <c r="D54" t="s">
        <v>8</v>
      </c>
      <c r="E54">
        <v>2</v>
      </c>
      <c r="F54" s="5">
        <v>104616</v>
      </c>
      <c r="G54">
        <v>1034</v>
      </c>
      <c r="H54" t="s">
        <v>10</v>
      </c>
      <c r="I54" s="5">
        <f t="shared" si="1"/>
        <v>209232</v>
      </c>
      <c r="J54">
        <f t="shared" si="2"/>
        <v>10</v>
      </c>
      <c r="K54">
        <f t="shared" si="0"/>
        <v>2024</v>
      </c>
    </row>
    <row r="55" spans="1:11" x14ac:dyDescent="0.25">
      <c r="A55">
        <v>77</v>
      </c>
      <c r="B55" s="3">
        <v>45562</v>
      </c>
      <c r="C55" t="s">
        <v>3</v>
      </c>
      <c r="D55" t="s">
        <v>8</v>
      </c>
      <c r="E55">
        <v>1</v>
      </c>
      <c r="F55" s="5">
        <v>91231</v>
      </c>
      <c r="G55">
        <v>1091</v>
      </c>
      <c r="H55" t="s">
        <v>11</v>
      </c>
      <c r="I55" s="5">
        <f t="shared" si="1"/>
        <v>91231</v>
      </c>
      <c r="J55">
        <f t="shared" si="2"/>
        <v>9</v>
      </c>
      <c r="K55">
        <f t="shared" si="0"/>
        <v>2024</v>
      </c>
    </row>
    <row r="56" spans="1:11" x14ac:dyDescent="0.25">
      <c r="A56">
        <v>78</v>
      </c>
      <c r="B56" s="3">
        <v>45506</v>
      </c>
      <c r="C56" t="s">
        <v>1</v>
      </c>
      <c r="D56" t="s">
        <v>8</v>
      </c>
      <c r="E56">
        <v>3</v>
      </c>
      <c r="F56" s="5">
        <v>274458</v>
      </c>
      <c r="G56">
        <v>1070</v>
      </c>
      <c r="H56" t="s">
        <v>11</v>
      </c>
      <c r="I56" s="5">
        <f t="shared" si="1"/>
        <v>823374</v>
      </c>
      <c r="J56">
        <f t="shared" si="2"/>
        <v>8</v>
      </c>
      <c r="K56">
        <f t="shared" si="0"/>
        <v>2024</v>
      </c>
    </row>
    <row r="57" spans="1:11" x14ac:dyDescent="0.25">
      <c r="A57">
        <v>80</v>
      </c>
      <c r="B57" s="3">
        <v>45481</v>
      </c>
      <c r="C57" t="s">
        <v>0</v>
      </c>
      <c r="D57" t="s">
        <v>8</v>
      </c>
      <c r="E57">
        <v>8</v>
      </c>
      <c r="F57" s="5">
        <v>203747</v>
      </c>
      <c r="G57">
        <v>1010</v>
      </c>
      <c r="H57" t="s">
        <v>10</v>
      </c>
      <c r="I57" s="5">
        <f t="shared" si="1"/>
        <v>1629976</v>
      </c>
      <c r="J57">
        <f t="shared" si="2"/>
        <v>7</v>
      </c>
      <c r="K57">
        <f t="shared" si="0"/>
        <v>2024</v>
      </c>
    </row>
    <row r="58" spans="1:11" x14ac:dyDescent="0.25">
      <c r="A58">
        <v>81</v>
      </c>
      <c r="B58" s="3">
        <v>45587</v>
      </c>
      <c r="C58" t="s">
        <v>1</v>
      </c>
      <c r="D58" t="s">
        <v>8</v>
      </c>
      <c r="E58">
        <v>1</v>
      </c>
      <c r="F58" s="5">
        <v>110228</v>
      </c>
      <c r="G58">
        <v>1009</v>
      </c>
      <c r="H58" t="s">
        <v>10</v>
      </c>
      <c r="I58" s="5">
        <f t="shared" si="1"/>
        <v>110228</v>
      </c>
      <c r="J58">
        <f t="shared" si="2"/>
        <v>10</v>
      </c>
      <c r="K58">
        <f t="shared" si="0"/>
        <v>2024</v>
      </c>
    </row>
    <row r="59" spans="1:11" x14ac:dyDescent="0.25">
      <c r="A59">
        <v>82</v>
      </c>
      <c r="B59" s="3">
        <v>45504</v>
      </c>
      <c r="C59" t="s">
        <v>7</v>
      </c>
      <c r="D59" t="s">
        <v>9</v>
      </c>
      <c r="E59">
        <v>12</v>
      </c>
      <c r="F59" s="5">
        <v>187828</v>
      </c>
      <c r="G59">
        <v>1072</v>
      </c>
      <c r="H59" t="s">
        <v>10</v>
      </c>
      <c r="I59" s="5">
        <f t="shared" si="1"/>
        <v>2253936</v>
      </c>
      <c r="J59">
        <f t="shared" si="2"/>
        <v>7</v>
      </c>
      <c r="K59">
        <f t="shared" si="0"/>
        <v>2024</v>
      </c>
    </row>
    <row r="60" spans="1:11" x14ac:dyDescent="0.25">
      <c r="A60">
        <v>83</v>
      </c>
      <c r="B60" s="3">
        <v>45499</v>
      </c>
      <c r="C60" t="s">
        <v>0</v>
      </c>
      <c r="D60" t="s">
        <v>8</v>
      </c>
      <c r="E60">
        <v>3</v>
      </c>
      <c r="F60" s="5">
        <v>162364</v>
      </c>
      <c r="G60">
        <v>1077</v>
      </c>
      <c r="H60" t="s">
        <v>10</v>
      </c>
      <c r="I60" s="5">
        <f t="shared" si="1"/>
        <v>487092</v>
      </c>
      <c r="J60">
        <f t="shared" si="2"/>
        <v>7</v>
      </c>
      <c r="K60">
        <f t="shared" si="0"/>
        <v>2024</v>
      </c>
    </row>
    <row r="61" spans="1:11" x14ac:dyDescent="0.25">
      <c r="A61">
        <v>84</v>
      </c>
      <c r="B61" s="3">
        <v>45528</v>
      </c>
      <c r="C61" t="s">
        <v>6</v>
      </c>
      <c r="D61" t="s">
        <v>8</v>
      </c>
      <c r="E61">
        <v>14</v>
      </c>
      <c r="F61" s="5">
        <v>74274</v>
      </c>
      <c r="G61">
        <v>1076</v>
      </c>
      <c r="H61" t="s">
        <v>10</v>
      </c>
      <c r="I61" s="5">
        <f t="shared" si="1"/>
        <v>1039836</v>
      </c>
      <c r="J61">
        <f t="shared" si="2"/>
        <v>8</v>
      </c>
      <c r="K61">
        <f t="shared" si="0"/>
        <v>2024</v>
      </c>
    </row>
    <row r="62" spans="1:11" x14ac:dyDescent="0.25">
      <c r="A62">
        <v>85</v>
      </c>
      <c r="B62" s="3">
        <v>45629</v>
      </c>
      <c r="C62" t="s">
        <v>4</v>
      </c>
      <c r="D62" t="s">
        <v>8</v>
      </c>
      <c r="E62">
        <v>3</v>
      </c>
      <c r="F62" s="5">
        <v>138541</v>
      </c>
      <c r="G62">
        <v>1056</v>
      </c>
      <c r="H62" t="s">
        <v>11</v>
      </c>
      <c r="I62" s="5">
        <f t="shared" si="1"/>
        <v>415623</v>
      </c>
      <c r="J62">
        <f t="shared" si="2"/>
        <v>12</v>
      </c>
      <c r="K62">
        <f t="shared" si="0"/>
        <v>2024</v>
      </c>
    </row>
    <row r="63" spans="1:11" x14ac:dyDescent="0.25">
      <c r="A63">
        <v>87</v>
      </c>
      <c r="B63" s="3">
        <v>45571</v>
      </c>
      <c r="C63" t="s">
        <v>1</v>
      </c>
      <c r="D63" t="s">
        <v>8</v>
      </c>
      <c r="E63">
        <v>12</v>
      </c>
      <c r="F63" s="5">
        <v>158606</v>
      </c>
      <c r="G63">
        <v>1001</v>
      </c>
      <c r="H63" t="s">
        <v>10</v>
      </c>
      <c r="I63" s="5">
        <f t="shared" si="1"/>
        <v>1903272</v>
      </c>
      <c r="J63">
        <f t="shared" si="2"/>
        <v>10</v>
      </c>
      <c r="K63">
        <f t="shared" si="0"/>
        <v>2024</v>
      </c>
    </row>
    <row r="64" spans="1:11" x14ac:dyDescent="0.25">
      <c r="A64">
        <v>88</v>
      </c>
      <c r="B64" s="3">
        <v>45508</v>
      </c>
      <c r="C64" t="s">
        <v>6</v>
      </c>
      <c r="D64" t="s">
        <v>8</v>
      </c>
      <c r="E64">
        <v>8</v>
      </c>
      <c r="F64" s="5">
        <v>199692</v>
      </c>
      <c r="G64">
        <v>1063</v>
      </c>
      <c r="H64" t="s">
        <v>11</v>
      </c>
      <c r="I64" s="5">
        <f t="shared" si="1"/>
        <v>1597536</v>
      </c>
      <c r="J64">
        <f t="shared" si="2"/>
        <v>8</v>
      </c>
      <c r="K64">
        <f t="shared" si="0"/>
        <v>2024</v>
      </c>
    </row>
    <row r="65" spans="1:11" x14ac:dyDescent="0.25">
      <c r="A65">
        <v>89</v>
      </c>
      <c r="B65" s="3">
        <v>45543</v>
      </c>
      <c r="C65" t="s">
        <v>1</v>
      </c>
      <c r="D65" t="s">
        <v>8</v>
      </c>
      <c r="E65">
        <v>5</v>
      </c>
      <c r="F65" s="5">
        <v>53874</v>
      </c>
      <c r="G65">
        <v>1034</v>
      </c>
      <c r="H65" t="s">
        <v>10</v>
      </c>
      <c r="I65" s="5">
        <f t="shared" si="1"/>
        <v>269370</v>
      </c>
      <c r="J65">
        <f t="shared" si="2"/>
        <v>9</v>
      </c>
      <c r="K65">
        <f t="shared" si="0"/>
        <v>2024</v>
      </c>
    </row>
    <row r="66" spans="1:11" x14ac:dyDescent="0.25">
      <c r="A66">
        <v>90</v>
      </c>
      <c r="B66" s="3">
        <v>45479</v>
      </c>
      <c r="C66" t="s">
        <v>3</v>
      </c>
      <c r="D66" t="s">
        <v>8</v>
      </c>
      <c r="E66">
        <v>10</v>
      </c>
      <c r="F66" s="5">
        <v>54708</v>
      </c>
      <c r="G66">
        <v>1006</v>
      </c>
      <c r="H66" t="s">
        <v>11</v>
      </c>
      <c r="I66" s="5">
        <f t="shared" si="1"/>
        <v>547080</v>
      </c>
      <c r="J66">
        <f t="shared" si="2"/>
        <v>7</v>
      </c>
      <c r="K66">
        <f t="shared" si="0"/>
        <v>2024</v>
      </c>
    </row>
    <row r="67" spans="1:11" x14ac:dyDescent="0.25">
      <c r="A67">
        <v>91</v>
      </c>
      <c r="B67" s="3">
        <v>45332</v>
      </c>
      <c r="C67" t="s">
        <v>5</v>
      </c>
      <c r="D67" t="s">
        <v>8</v>
      </c>
      <c r="E67">
        <v>9</v>
      </c>
      <c r="F67" s="5">
        <v>79553</v>
      </c>
      <c r="G67">
        <v>1084</v>
      </c>
      <c r="H67" t="s">
        <v>11</v>
      </c>
      <c r="I67" s="5">
        <f t="shared" si="1"/>
        <v>715977</v>
      </c>
      <c r="J67">
        <f t="shared" si="2"/>
        <v>2</v>
      </c>
      <c r="K67">
        <f t="shared" ref="K67:K130" si="3">YEAR(B67)</f>
        <v>2024</v>
      </c>
    </row>
    <row r="68" spans="1:11" x14ac:dyDescent="0.25">
      <c r="A68">
        <v>92</v>
      </c>
      <c r="B68" s="3">
        <v>45448</v>
      </c>
      <c r="C68" t="s">
        <v>3</v>
      </c>
      <c r="D68" t="s">
        <v>8</v>
      </c>
      <c r="E68">
        <v>2</v>
      </c>
      <c r="F68" s="5">
        <v>73344</v>
      </c>
      <c r="G68">
        <v>1017</v>
      </c>
      <c r="H68" t="s">
        <v>12</v>
      </c>
      <c r="I68" s="5">
        <f t="shared" ref="I68:I131" si="4">E68*F68</f>
        <v>146688</v>
      </c>
      <c r="J68">
        <f t="shared" ref="J68:J131" si="5">MONTH(B68)</f>
        <v>6</v>
      </c>
      <c r="K68">
        <f t="shared" si="3"/>
        <v>2024</v>
      </c>
    </row>
    <row r="69" spans="1:11" x14ac:dyDescent="0.25">
      <c r="A69">
        <v>93</v>
      </c>
      <c r="B69" s="3">
        <v>45306</v>
      </c>
      <c r="C69" t="s">
        <v>7</v>
      </c>
      <c r="D69" t="s">
        <v>9</v>
      </c>
      <c r="E69">
        <v>3</v>
      </c>
      <c r="F69" s="5">
        <v>190374</v>
      </c>
      <c r="G69">
        <v>1066</v>
      </c>
      <c r="H69" t="s">
        <v>12</v>
      </c>
      <c r="I69" s="5">
        <f t="shared" si="4"/>
        <v>571122</v>
      </c>
      <c r="J69">
        <f t="shared" si="5"/>
        <v>1</v>
      </c>
      <c r="K69">
        <f t="shared" si="3"/>
        <v>2024</v>
      </c>
    </row>
    <row r="70" spans="1:11" x14ac:dyDescent="0.25">
      <c r="A70">
        <v>94</v>
      </c>
      <c r="B70" s="3">
        <v>45592</v>
      </c>
      <c r="C70" t="s">
        <v>3</v>
      </c>
      <c r="D70" t="s">
        <v>8</v>
      </c>
      <c r="E70">
        <v>1</v>
      </c>
      <c r="F70" s="5">
        <v>52638</v>
      </c>
      <c r="G70">
        <v>1041</v>
      </c>
      <c r="H70" t="s">
        <v>12</v>
      </c>
      <c r="I70" s="5">
        <f t="shared" si="4"/>
        <v>52638</v>
      </c>
      <c r="J70">
        <f t="shared" si="5"/>
        <v>10</v>
      </c>
      <c r="K70">
        <f t="shared" si="3"/>
        <v>2024</v>
      </c>
    </row>
    <row r="71" spans="1:11" x14ac:dyDescent="0.25">
      <c r="A71">
        <v>96</v>
      </c>
      <c r="B71" s="3">
        <v>45636</v>
      </c>
      <c r="C71" t="s">
        <v>7</v>
      </c>
      <c r="D71" t="s">
        <v>9</v>
      </c>
      <c r="E71">
        <v>14</v>
      </c>
      <c r="F71" s="5">
        <v>7719</v>
      </c>
      <c r="G71">
        <v>1040</v>
      </c>
      <c r="H71" t="s">
        <v>10</v>
      </c>
      <c r="I71" s="5">
        <f t="shared" si="4"/>
        <v>108066</v>
      </c>
      <c r="J71">
        <f t="shared" si="5"/>
        <v>12</v>
      </c>
      <c r="K71">
        <f t="shared" si="3"/>
        <v>2024</v>
      </c>
    </row>
    <row r="72" spans="1:11" x14ac:dyDescent="0.25">
      <c r="A72">
        <v>97</v>
      </c>
      <c r="B72" s="3">
        <v>45618</v>
      </c>
      <c r="C72" t="s">
        <v>4</v>
      </c>
      <c r="D72" t="s">
        <v>8</v>
      </c>
      <c r="E72">
        <v>9</v>
      </c>
      <c r="F72" s="5">
        <v>158962</v>
      </c>
      <c r="G72">
        <v>1074</v>
      </c>
      <c r="H72" t="s">
        <v>12</v>
      </c>
      <c r="I72" s="5">
        <f t="shared" si="4"/>
        <v>1430658</v>
      </c>
      <c r="J72">
        <f t="shared" si="5"/>
        <v>11</v>
      </c>
      <c r="K72">
        <f t="shared" si="3"/>
        <v>2024</v>
      </c>
    </row>
    <row r="73" spans="1:11" x14ac:dyDescent="0.25">
      <c r="A73">
        <v>98</v>
      </c>
      <c r="B73" s="3">
        <v>45300</v>
      </c>
      <c r="C73" t="s">
        <v>0</v>
      </c>
      <c r="D73" t="s">
        <v>8</v>
      </c>
      <c r="E73">
        <v>12</v>
      </c>
      <c r="F73" s="5">
        <v>47534</v>
      </c>
      <c r="G73">
        <v>1023</v>
      </c>
      <c r="H73" t="s">
        <v>11</v>
      </c>
      <c r="I73" s="5">
        <f t="shared" si="4"/>
        <v>570408</v>
      </c>
      <c r="J73">
        <f t="shared" si="5"/>
        <v>1</v>
      </c>
      <c r="K73">
        <f t="shared" si="3"/>
        <v>2024</v>
      </c>
    </row>
    <row r="74" spans="1:11" x14ac:dyDescent="0.25">
      <c r="A74">
        <v>100</v>
      </c>
      <c r="B74" s="3">
        <v>45420</v>
      </c>
      <c r="C74" t="s">
        <v>7</v>
      </c>
      <c r="D74" t="s">
        <v>9</v>
      </c>
      <c r="E74">
        <v>11</v>
      </c>
      <c r="F74" s="5">
        <v>131209</v>
      </c>
      <c r="G74">
        <v>1045</v>
      </c>
      <c r="H74" t="s">
        <v>12</v>
      </c>
      <c r="I74" s="5">
        <f t="shared" si="4"/>
        <v>1443299</v>
      </c>
      <c r="J74">
        <f t="shared" si="5"/>
        <v>5</v>
      </c>
      <c r="K74">
        <f t="shared" si="3"/>
        <v>2024</v>
      </c>
    </row>
    <row r="75" spans="1:11" x14ac:dyDescent="0.25">
      <c r="A75">
        <v>101</v>
      </c>
      <c r="B75" s="3">
        <v>45427</v>
      </c>
      <c r="C75" t="s">
        <v>6</v>
      </c>
      <c r="D75" t="s">
        <v>8</v>
      </c>
      <c r="E75">
        <v>3</v>
      </c>
      <c r="F75" s="5">
        <v>194004</v>
      </c>
      <c r="G75">
        <v>1018</v>
      </c>
      <c r="H75" t="s">
        <v>11</v>
      </c>
      <c r="I75" s="5">
        <f t="shared" si="4"/>
        <v>582012</v>
      </c>
      <c r="J75">
        <f t="shared" si="5"/>
        <v>5</v>
      </c>
      <c r="K75">
        <f t="shared" si="3"/>
        <v>2024</v>
      </c>
    </row>
    <row r="76" spans="1:11" x14ac:dyDescent="0.25">
      <c r="A76">
        <v>102</v>
      </c>
      <c r="B76" s="3">
        <v>45354</v>
      </c>
      <c r="C76" t="s">
        <v>5</v>
      </c>
      <c r="D76" t="s">
        <v>8</v>
      </c>
      <c r="E76">
        <v>2</v>
      </c>
      <c r="F76" s="5">
        <v>97124</v>
      </c>
      <c r="G76">
        <v>1067</v>
      </c>
      <c r="H76" t="s">
        <v>10</v>
      </c>
      <c r="I76" s="5">
        <f t="shared" si="4"/>
        <v>194248</v>
      </c>
      <c r="J76">
        <f t="shared" si="5"/>
        <v>3</v>
      </c>
      <c r="K76">
        <f t="shared" si="3"/>
        <v>2024</v>
      </c>
    </row>
    <row r="77" spans="1:11" x14ac:dyDescent="0.25">
      <c r="A77">
        <v>103</v>
      </c>
      <c r="B77" s="3">
        <v>45430</v>
      </c>
      <c r="C77" t="s">
        <v>5</v>
      </c>
      <c r="D77" t="s">
        <v>8</v>
      </c>
      <c r="E77">
        <v>8</v>
      </c>
      <c r="F77" s="5">
        <v>96659</v>
      </c>
      <c r="G77">
        <v>1089</v>
      </c>
      <c r="H77" t="s">
        <v>10</v>
      </c>
      <c r="I77" s="5">
        <f t="shared" si="4"/>
        <v>773272</v>
      </c>
      <c r="J77">
        <f t="shared" si="5"/>
        <v>5</v>
      </c>
      <c r="K77">
        <f t="shared" si="3"/>
        <v>2024</v>
      </c>
    </row>
    <row r="78" spans="1:11" x14ac:dyDescent="0.25">
      <c r="A78">
        <v>104</v>
      </c>
      <c r="B78" s="3">
        <v>45372</v>
      </c>
      <c r="C78" t="s">
        <v>3</v>
      </c>
      <c r="D78" t="s">
        <v>8</v>
      </c>
      <c r="E78">
        <v>1</v>
      </c>
      <c r="F78" s="5">
        <v>169134</v>
      </c>
      <c r="G78">
        <v>1041</v>
      </c>
      <c r="H78" t="s">
        <v>12</v>
      </c>
      <c r="I78" s="5">
        <f t="shared" si="4"/>
        <v>169134</v>
      </c>
      <c r="J78">
        <f t="shared" si="5"/>
        <v>3</v>
      </c>
      <c r="K78">
        <f t="shared" si="3"/>
        <v>2024</v>
      </c>
    </row>
    <row r="79" spans="1:11" x14ac:dyDescent="0.25">
      <c r="A79">
        <v>105</v>
      </c>
      <c r="B79" s="3">
        <v>45454</v>
      </c>
      <c r="C79" t="s">
        <v>4</v>
      </c>
      <c r="D79" t="s">
        <v>8</v>
      </c>
      <c r="E79">
        <v>10</v>
      </c>
      <c r="F79" s="5">
        <v>80713</v>
      </c>
      <c r="G79">
        <v>1031</v>
      </c>
      <c r="H79" t="s">
        <v>10</v>
      </c>
      <c r="I79" s="5">
        <f t="shared" si="4"/>
        <v>807130</v>
      </c>
      <c r="J79">
        <f t="shared" si="5"/>
        <v>6</v>
      </c>
      <c r="K79">
        <f t="shared" si="3"/>
        <v>2024</v>
      </c>
    </row>
    <row r="80" spans="1:11" x14ac:dyDescent="0.25">
      <c r="A80">
        <v>106</v>
      </c>
      <c r="B80" s="3">
        <v>45580</v>
      </c>
      <c r="C80" t="s">
        <v>4</v>
      </c>
      <c r="D80" t="s">
        <v>8</v>
      </c>
      <c r="E80">
        <v>8</v>
      </c>
      <c r="F80" s="5">
        <v>223335</v>
      </c>
      <c r="G80">
        <v>1038</v>
      </c>
      <c r="H80" t="s">
        <v>11</v>
      </c>
      <c r="I80" s="5">
        <f t="shared" si="4"/>
        <v>1786680</v>
      </c>
      <c r="J80">
        <f t="shared" si="5"/>
        <v>10</v>
      </c>
      <c r="K80">
        <f t="shared" si="3"/>
        <v>2024</v>
      </c>
    </row>
    <row r="81" spans="1:11" x14ac:dyDescent="0.25">
      <c r="A81">
        <v>109</v>
      </c>
      <c r="B81" s="3">
        <v>45332</v>
      </c>
      <c r="C81" t="s">
        <v>5</v>
      </c>
      <c r="D81" t="s">
        <v>8</v>
      </c>
      <c r="E81">
        <v>3</v>
      </c>
      <c r="F81" s="5">
        <v>168038</v>
      </c>
      <c r="G81">
        <v>1035</v>
      </c>
      <c r="H81" t="s">
        <v>10</v>
      </c>
      <c r="I81" s="5">
        <f t="shared" si="4"/>
        <v>504114</v>
      </c>
      <c r="J81">
        <f t="shared" si="5"/>
        <v>2</v>
      </c>
      <c r="K81">
        <f t="shared" si="3"/>
        <v>2024</v>
      </c>
    </row>
    <row r="82" spans="1:11" x14ac:dyDescent="0.25">
      <c r="A82">
        <v>110</v>
      </c>
      <c r="B82" s="3">
        <v>45319</v>
      </c>
      <c r="C82" t="s">
        <v>4</v>
      </c>
      <c r="D82" t="s">
        <v>8</v>
      </c>
      <c r="E82">
        <v>7</v>
      </c>
      <c r="F82" s="5">
        <v>173383</v>
      </c>
      <c r="G82">
        <v>1002</v>
      </c>
      <c r="H82" t="s">
        <v>12</v>
      </c>
      <c r="I82" s="5">
        <f t="shared" si="4"/>
        <v>1213681</v>
      </c>
      <c r="J82">
        <f t="shared" si="5"/>
        <v>1</v>
      </c>
      <c r="K82">
        <f t="shared" si="3"/>
        <v>2024</v>
      </c>
    </row>
    <row r="83" spans="1:11" x14ac:dyDescent="0.25">
      <c r="A83">
        <v>111</v>
      </c>
      <c r="B83" s="3">
        <v>45426</v>
      </c>
      <c r="C83" t="s">
        <v>3</v>
      </c>
      <c r="D83" t="s">
        <v>8</v>
      </c>
      <c r="E83">
        <v>2</v>
      </c>
      <c r="F83" s="5">
        <v>298719</v>
      </c>
      <c r="G83">
        <v>1072</v>
      </c>
      <c r="H83" t="s">
        <v>11</v>
      </c>
      <c r="I83" s="5">
        <f t="shared" si="4"/>
        <v>597438</v>
      </c>
      <c r="J83">
        <f t="shared" si="5"/>
        <v>5</v>
      </c>
      <c r="K83">
        <f t="shared" si="3"/>
        <v>2024</v>
      </c>
    </row>
    <row r="84" spans="1:11" x14ac:dyDescent="0.25">
      <c r="A84">
        <v>112</v>
      </c>
      <c r="B84" s="3">
        <v>45492</v>
      </c>
      <c r="C84" t="s">
        <v>1</v>
      </c>
      <c r="D84" t="s">
        <v>8</v>
      </c>
      <c r="E84">
        <v>7</v>
      </c>
      <c r="F84" s="5">
        <v>263722</v>
      </c>
      <c r="G84">
        <v>1007</v>
      </c>
      <c r="H84" t="s">
        <v>10</v>
      </c>
      <c r="I84" s="5">
        <f t="shared" si="4"/>
        <v>1846054</v>
      </c>
      <c r="J84">
        <f t="shared" si="5"/>
        <v>7</v>
      </c>
      <c r="K84">
        <f t="shared" si="3"/>
        <v>2024</v>
      </c>
    </row>
    <row r="85" spans="1:11" x14ac:dyDescent="0.25">
      <c r="A85">
        <v>113</v>
      </c>
      <c r="B85" s="3">
        <v>45619</v>
      </c>
      <c r="C85" t="s">
        <v>4</v>
      </c>
      <c r="D85" t="s">
        <v>8</v>
      </c>
      <c r="E85">
        <v>9</v>
      </c>
      <c r="F85" s="5">
        <v>137079</v>
      </c>
      <c r="G85">
        <v>1096</v>
      </c>
      <c r="H85" t="s">
        <v>10</v>
      </c>
      <c r="I85" s="5">
        <f t="shared" si="4"/>
        <v>1233711</v>
      </c>
      <c r="J85">
        <f t="shared" si="5"/>
        <v>11</v>
      </c>
      <c r="K85">
        <f t="shared" si="3"/>
        <v>2024</v>
      </c>
    </row>
    <row r="86" spans="1:11" x14ac:dyDescent="0.25">
      <c r="A86">
        <v>115</v>
      </c>
      <c r="B86" s="3">
        <v>45324</v>
      </c>
      <c r="C86" t="s">
        <v>1</v>
      </c>
      <c r="D86" t="s">
        <v>8</v>
      </c>
      <c r="E86">
        <v>10</v>
      </c>
      <c r="F86" s="5">
        <v>81242</v>
      </c>
      <c r="G86">
        <v>1040</v>
      </c>
      <c r="H86" t="s">
        <v>11</v>
      </c>
      <c r="I86" s="5">
        <f t="shared" si="4"/>
        <v>812420</v>
      </c>
      <c r="J86">
        <f t="shared" si="5"/>
        <v>2</v>
      </c>
      <c r="K86">
        <f t="shared" si="3"/>
        <v>2024</v>
      </c>
    </row>
    <row r="87" spans="1:11" x14ac:dyDescent="0.25">
      <c r="A87">
        <v>116</v>
      </c>
      <c r="B87" s="3">
        <v>45339</v>
      </c>
      <c r="C87" t="s">
        <v>0</v>
      </c>
      <c r="D87" t="s">
        <v>8</v>
      </c>
      <c r="E87">
        <v>5</v>
      </c>
      <c r="F87" s="5">
        <v>183589</v>
      </c>
      <c r="G87">
        <v>1067</v>
      </c>
      <c r="H87" t="s">
        <v>11</v>
      </c>
      <c r="I87" s="5">
        <f t="shared" si="4"/>
        <v>917945</v>
      </c>
      <c r="J87">
        <f t="shared" si="5"/>
        <v>2</v>
      </c>
      <c r="K87">
        <f t="shared" si="3"/>
        <v>2024</v>
      </c>
    </row>
    <row r="88" spans="1:11" x14ac:dyDescent="0.25">
      <c r="A88">
        <v>119</v>
      </c>
      <c r="B88" s="3">
        <v>45584</v>
      </c>
      <c r="C88" t="s">
        <v>2</v>
      </c>
      <c r="D88" t="s">
        <v>8</v>
      </c>
      <c r="E88">
        <v>2</v>
      </c>
      <c r="F88" s="5">
        <v>268579</v>
      </c>
      <c r="G88">
        <v>1059</v>
      </c>
      <c r="H88" t="s">
        <v>12</v>
      </c>
      <c r="I88" s="5">
        <f t="shared" si="4"/>
        <v>537158</v>
      </c>
      <c r="J88">
        <f t="shared" si="5"/>
        <v>10</v>
      </c>
      <c r="K88">
        <f t="shared" si="3"/>
        <v>2024</v>
      </c>
    </row>
    <row r="89" spans="1:11" x14ac:dyDescent="0.25">
      <c r="A89">
        <v>120</v>
      </c>
      <c r="B89" s="3">
        <v>45390</v>
      </c>
      <c r="C89" t="s">
        <v>1</v>
      </c>
      <c r="D89" t="s">
        <v>8</v>
      </c>
      <c r="E89">
        <v>6</v>
      </c>
      <c r="F89" s="5">
        <v>234947</v>
      </c>
      <c r="G89">
        <v>1001</v>
      </c>
      <c r="H89" t="s">
        <v>11</v>
      </c>
      <c r="I89" s="5">
        <f t="shared" si="4"/>
        <v>1409682</v>
      </c>
      <c r="J89">
        <f t="shared" si="5"/>
        <v>4</v>
      </c>
      <c r="K89">
        <f t="shared" si="3"/>
        <v>2024</v>
      </c>
    </row>
    <row r="90" spans="1:11" x14ac:dyDescent="0.25">
      <c r="A90">
        <v>121</v>
      </c>
      <c r="B90" s="3">
        <v>45463</v>
      </c>
      <c r="C90" t="s">
        <v>0</v>
      </c>
      <c r="D90" t="s">
        <v>8</v>
      </c>
      <c r="E90">
        <v>14</v>
      </c>
      <c r="F90" s="5">
        <v>236758</v>
      </c>
      <c r="G90">
        <v>1059</v>
      </c>
      <c r="H90" t="s">
        <v>10</v>
      </c>
      <c r="I90" s="5">
        <f t="shared" si="4"/>
        <v>3314612</v>
      </c>
      <c r="J90">
        <f t="shared" si="5"/>
        <v>6</v>
      </c>
      <c r="K90">
        <f t="shared" si="3"/>
        <v>2024</v>
      </c>
    </row>
    <row r="91" spans="1:11" x14ac:dyDescent="0.25">
      <c r="A91">
        <v>122</v>
      </c>
      <c r="B91" s="3">
        <v>45651</v>
      </c>
      <c r="C91" t="s">
        <v>6</v>
      </c>
      <c r="D91" t="s">
        <v>8</v>
      </c>
      <c r="E91">
        <v>6</v>
      </c>
      <c r="F91" s="5">
        <v>96357</v>
      </c>
      <c r="G91">
        <v>1004</v>
      </c>
      <c r="H91" t="s">
        <v>12</v>
      </c>
      <c r="I91" s="5">
        <f t="shared" si="4"/>
        <v>578142</v>
      </c>
      <c r="J91">
        <f t="shared" si="5"/>
        <v>12</v>
      </c>
      <c r="K91">
        <f t="shared" si="3"/>
        <v>2024</v>
      </c>
    </row>
    <row r="92" spans="1:11" x14ac:dyDescent="0.25">
      <c r="A92">
        <v>123</v>
      </c>
      <c r="B92" s="3">
        <v>45505</v>
      </c>
      <c r="C92" t="s">
        <v>6</v>
      </c>
      <c r="D92" t="s">
        <v>8</v>
      </c>
      <c r="E92">
        <v>8</v>
      </c>
      <c r="F92" s="5">
        <v>162732</v>
      </c>
      <c r="G92">
        <v>1043</v>
      </c>
      <c r="H92" t="s">
        <v>11</v>
      </c>
      <c r="I92" s="5">
        <f t="shared" si="4"/>
        <v>1301856</v>
      </c>
      <c r="J92">
        <f t="shared" si="5"/>
        <v>8</v>
      </c>
      <c r="K92">
        <f t="shared" si="3"/>
        <v>2024</v>
      </c>
    </row>
    <row r="93" spans="1:11" x14ac:dyDescent="0.25">
      <c r="A93">
        <v>124</v>
      </c>
      <c r="B93" s="3">
        <v>45326</v>
      </c>
      <c r="C93" t="s">
        <v>5</v>
      </c>
      <c r="D93" t="s">
        <v>8</v>
      </c>
      <c r="E93">
        <v>12</v>
      </c>
      <c r="F93" s="5">
        <v>208667</v>
      </c>
      <c r="G93">
        <v>1026</v>
      </c>
      <c r="H93" t="s">
        <v>10</v>
      </c>
      <c r="I93" s="5">
        <f t="shared" si="4"/>
        <v>2504004</v>
      </c>
      <c r="J93">
        <f t="shared" si="5"/>
        <v>2</v>
      </c>
      <c r="K93">
        <f t="shared" si="3"/>
        <v>2024</v>
      </c>
    </row>
    <row r="94" spans="1:11" x14ac:dyDescent="0.25">
      <c r="A94">
        <v>125</v>
      </c>
      <c r="B94" s="3">
        <v>45518</v>
      </c>
      <c r="C94" t="s">
        <v>4</v>
      </c>
      <c r="D94" t="s">
        <v>8</v>
      </c>
      <c r="E94">
        <v>3</v>
      </c>
      <c r="F94" s="5">
        <v>88807</v>
      </c>
      <c r="G94">
        <v>1031</v>
      </c>
      <c r="H94" t="s">
        <v>12</v>
      </c>
      <c r="I94" s="5">
        <f t="shared" si="4"/>
        <v>266421</v>
      </c>
      <c r="J94">
        <f t="shared" si="5"/>
        <v>8</v>
      </c>
      <c r="K94">
        <f t="shared" si="3"/>
        <v>2024</v>
      </c>
    </row>
    <row r="95" spans="1:11" x14ac:dyDescent="0.25">
      <c r="A95">
        <v>127</v>
      </c>
      <c r="B95" s="3">
        <v>45422</v>
      </c>
      <c r="C95" t="s">
        <v>4</v>
      </c>
      <c r="D95" t="s">
        <v>8</v>
      </c>
      <c r="E95">
        <v>14</v>
      </c>
      <c r="F95" s="5">
        <v>263778</v>
      </c>
      <c r="G95">
        <v>1007</v>
      </c>
      <c r="H95" t="s">
        <v>10</v>
      </c>
      <c r="I95" s="5">
        <f t="shared" si="4"/>
        <v>3692892</v>
      </c>
      <c r="J95">
        <f t="shared" si="5"/>
        <v>5</v>
      </c>
      <c r="K95">
        <f t="shared" si="3"/>
        <v>2024</v>
      </c>
    </row>
    <row r="96" spans="1:11" x14ac:dyDescent="0.25">
      <c r="A96">
        <v>128</v>
      </c>
      <c r="B96" s="3">
        <v>45548</v>
      </c>
      <c r="C96" t="s">
        <v>5</v>
      </c>
      <c r="D96" t="s">
        <v>8</v>
      </c>
      <c r="E96">
        <v>2</v>
      </c>
      <c r="F96" s="5">
        <v>186264</v>
      </c>
      <c r="G96">
        <v>1071</v>
      </c>
      <c r="H96" t="s">
        <v>10</v>
      </c>
      <c r="I96" s="5">
        <f t="shared" si="4"/>
        <v>372528</v>
      </c>
      <c r="J96">
        <f t="shared" si="5"/>
        <v>9</v>
      </c>
      <c r="K96">
        <f t="shared" si="3"/>
        <v>2024</v>
      </c>
    </row>
    <row r="97" spans="1:11" x14ac:dyDescent="0.25">
      <c r="A97">
        <v>129</v>
      </c>
      <c r="B97" s="3">
        <v>45296</v>
      </c>
      <c r="C97" t="s">
        <v>6</v>
      </c>
      <c r="D97" t="s">
        <v>8</v>
      </c>
      <c r="E97">
        <v>9</v>
      </c>
      <c r="F97" s="5">
        <v>78609</v>
      </c>
      <c r="G97">
        <v>1049</v>
      </c>
      <c r="H97" t="s">
        <v>10</v>
      </c>
      <c r="I97" s="5">
        <f t="shared" si="4"/>
        <v>707481</v>
      </c>
      <c r="J97">
        <f t="shared" si="5"/>
        <v>1</v>
      </c>
      <c r="K97">
        <f t="shared" si="3"/>
        <v>2024</v>
      </c>
    </row>
    <row r="98" spans="1:11" x14ac:dyDescent="0.25">
      <c r="A98">
        <v>130</v>
      </c>
      <c r="B98" s="3">
        <v>45509</v>
      </c>
      <c r="C98" t="s">
        <v>4</v>
      </c>
      <c r="D98" t="s">
        <v>8</v>
      </c>
      <c r="E98">
        <v>11</v>
      </c>
      <c r="F98" s="5">
        <v>276221</v>
      </c>
      <c r="G98">
        <v>1066</v>
      </c>
      <c r="H98" t="s">
        <v>12</v>
      </c>
      <c r="I98" s="5">
        <f t="shared" si="4"/>
        <v>3038431</v>
      </c>
      <c r="J98">
        <f t="shared" si="5"/>
        <v>8</v>
      </c>
      <c r="K98">
        <f t="shared" si="3"/>
        <v>2024</v>
      </c>
    </row>
    <row r="99" spans="1:11" x14ac:dyDescent="0.25">
      <c r="A99">
        <v>131</v>
      </c>
      <c r="B99" s="3">
        <v>45546</v>
      </c>
      <c r="C99" t="s">
        <v>6</v>
      </c>
      <c r="D99" t="s">
        <v>8</v>
      </c>
      <c r="E99">
        <v>8</v>
      </c>
      <c r="F99" s="5">
        <v>253512</v>
      </c>
      <c r="G99">
        <v>1043</v>
      </c>
      <c r="H99" t="s">
        <v>12</v>
      </c>
      <c r="I99" s="5">
        <f t="shared" si="4"/>
        <v>2028096</v>
      </c>
      <c r="J99">
        <f t="shared" si="5"/>
        <v>9</v>
      </c>
      <c r="K99">
        <f t="shared" si="3"/>
        <v>2024</v>
      </c>
    </row>
    <row r="100" spans="1:11" x14ac:dyDescent="0.25">
      <c r="A100">
        <v>132</v>
      </c>
      <c r="B100" s="3">
        <v>45650</v>
      </c>
      <c r="C100" t="s">
        <v>1</v>
      </c>
      <c r="D100" t="s">
        <v>8</v>
      </c>
      <c r="E100">
        <v>6</v>
      </c>
      <c r="F100" s="5">
        <v>258973</v>
      </c>
      <c r="G100">
        <v>1057</v>
      </c>
      <c r="H100" t="s">
        <v>12</v>
      </c>
      <c r="I100" s="5">
        <f t="shared" si="4"/>
        <v>1553838</v>
      </c>
      <c r="J100">
        <f t="shared" si="5"/>
        <v>12</v>
      </c>
      <c r="K100">
        <f t="shared" si="3"/>
        <v>2024</v>
      </c>
    </row>
    <row r="101" spans="1:11" x14ac:dyDescent="0.25">
      <c r="A101">
        <v>134</v>
      </c>
      <c r="B101" s="3">
        <v>45498</v>
      </c>
      <c r="C101" t="s">
        <v>3</v>
      </c>
      <c r="D101" t="s">
        <v>8</v>
      </c>
      <c r="E101">
        <v>9</v>
      </c>
      <c r="F101" s="5">
        <v>159893</v>
      </c>
      <c r="G101">
        <v>1085</v>
      </c>
      <c r="H101" t="s">
        <v>12</v>
      </c>
      <c r="I101" s="5">
        <f t="shared" si="4"/>
        <v>1439037</v>
      </c>
      <c r="J101">
        <f t="shared" si="5"/>
        <v>7</v>
      </c>
      <c r="K101">
        <f t="shared" si="3"/>
        <v>2024</v>
      </c>
    </row>
    <row r="102" spans="1:11" x14ac:dyDescent="0.25">
      <c r="A102">
        <v>138</v>
      </c>
      <c r="B102" s="3">
        <v>45470</v>
      </c>
      <c r="C102" t="s">
        <v>2</v>
      </c>
      <c r="D102" t="s">
        <v>8</v>
      </c>
      <c r="E102">
        <v>5</v>
      </c>
      <c r="F102" s="5">
        <v>82475</v>
      </c>
      <c r="G102">
        <v>1043</v>
      </c>
      <c r="H102" t="s">
        <v>11</v>
      </c>
      <c r="I102" s="5">
        <f t="shared" si="4"/>
        <v>412375</v>
      </c>
      <c r="J102">
        <f t="shared" si="5"/>
        <v>6</v>
      </c>
      <c r="K102">
        <f t="shared" si="3"/>
        <v>2024</v>
      </c>
    </row>
    <row r="103" spans="1:11" x14ac:dyDescent="0.25">
      <c r="A103">
        <v>139</v>
      </c>
      <c r="B103" s="3">
        <v>45354</v>
      </c>
      <c r="C103" t="s">
        <v>2</v>
      </c>
      <c r="D103" t="s">
        <v>8</v>
      </c>
      <c r="E103">
        <v>5</v>
      </c>
      <c r="F103" s="5">
        <v>157499</v>
      </c>
      <c r="G103">
        <v>1001</v>
      </c>
      <c r="H103" t="s">
        <v>10</v>
      </c>
      <c r="I103" s="5">
        <f t="shared" si="4"/>
        <v>787495</v>
      </c>
      <c r="J103">
        <f t="shared" si="5"/>
        <v>3</v>
      </c>
      <c r="K103">
        <f t="shared" si="3"/>
        <v>2024</v>
      </c>
    </row>
    <row r="104" spans="1:11" x14ac:dyDescent="0.25">
      <c r="A104">
        <v>140</v>
      </c>
      <c r="B104" s="3">
        <v>45643</v>
      </c>
      <c r="C104" t="s">
        <v>1</v>
      </c>
      <c r="D104" t="s">
        <v>8</v>
      </c>
      <c r="E104">
        <v>8</v>
      </c>
      <c r="F104" s="5">
        <v>294227</v>
      </c>
      <c r="G104">
        <v>1080</v>
      </c>
      <c r="H104" t="s">
        <v>10</v>
      </c>
      <c r="I104" s="5">
        <f t="shared" si="4"/>
        <v>2353816</v>
      </c>
      <c r="J104">
        <f t="shared" si="5"/>
        <v>12</v>
      </c>
      <c r="K104">
        <f t="shared" si="3"/>
        <v>2024</v>
      </c>
    </row>
    <row r="105" spans="1:11" x14ac:dyDescent="0.25">
      <c r="A105">
        <v>141</v>
      </c>
      <c r="B105" s="3">
        <v>45522</v>
      </c>
      <c r="C105" t="s">
        <v>7</v>
      </c>
      <c r="D105" t="s">
        <v>9</v>
      </c>
      <c r="E105">
        <v>6</v>
      </c>
      <c r="F105" s="5">
        <v>223118</v>
      </c>
      <c r="G105">
        <v>1034</v>
      </c>
      <c r="H105" t="s">
        <v>10</v>
      </c>
      <c r="I105" s="5">
        <f t="shared" si="4"/>
        <v>1338708</v>
      </c>
      <c r="J105">
        <f t="shared" si="5"/>
        <v>8</v>
      </c>
      <c r="K105">
        <f t="shared" si="3"/>
        <v>2024</v>
      </c>
    </row>
    <row r="106" spans="1:11" x14ac:dyDescent="0.25">
      <c r="A106">
        <v>142</v>
      </c>
      <c r="B106" s="3">
        <v>45532</v>
      </c>
      <c r="C106" t="s">
        <v>1</v>
      </c>
      <c r="D106" t="s">
        <v>8</v>
      </c>
      <c r="E106">
        <v>2</v>
      </c>
      <c r="F106" s="5">
        <v>128786</v>
      </c>
      <c r="G106">
        <v>1097</v>
      </c>
      <c r="H106" t="s">
        <v>11</v>
      </c>
      <c r="I106" s="5">
        <f t="shared" si="4"/>
        <v>257572</v>
      </c>
      <c r="J106">
        <f t="shared" si="5"/>
        <v>8</v>
      </c>
      <c r="K106">
        <f t="shared" si="3"/>
        <v>2024</v>
      </c>
    </row>
    <row r="107" spans="1:11" x14ac:dyDescent="0.25">
      <c r="A107">
        <v>143</v>
      </c>
      <c r="B107" s="3">
        <v>45343</v>
      </c>
      <c r="C107" t="s">
        <v>2</v>
      </c>
      <c r="D107" t="s">
        <v>8</v>
      </c>
      <c r="E107">
        <v>11</v>
      </c>
      <c r="F107" s="5">
        <v>12813</v>
      </c>
      <c r="G107">
        <v>1086</v>
      </c>
      <c r="H107" t="s">
        <v>12</v>
      </c>
      <c r="I107" s="5">
        <f t="shared" si="4"/>
        <v>140943</v>
      </c>
      <c r="J107">
        <f t="shared" si="5"/>
        <v>2</v>
      </c>
      <c r="K107">
        <f t="shared" si="3"/>
        <v>2024</v>
      </c>
    </row>
    <row r="108" spans="1:11" x14ac:dyDescent="0.25">
      <c r="A108">
        <v>145</v>
      </c>
      <c r="B108" s="3">
        <v>45513</v>
      </c>
      <c r="C108" t="s">
        <v>5</v>
      </c>
      <c r="D108" t="s">
        <v>8</v>
      </c>
      <c r="E108">
        <v>2</v>
      </c>
      <c r="F108" s="5">
        <v>262951</v>
      </c>
      <c r="G108">
        <v>1007</v>
      </c>
      <c r="H108" t="s">
        <v>11</v>
      </c>
      <c r="I108" s="5">
        <f t="shared" si="4"/>
        <v>525902</v>
      </c>
      <c r="J108">
        <f t="shared" si="5"/>
        <v>8</v>
      </c>
      <c r="K108">
        <f t="shared" si="3"/>
        <v>2024</v>
      </c>
    </row>
    <row r="109" spans="1:11" x14ac:dyDescent="0.25">
      <c r="A109">
        <v>146</v>
      </c>
      <c r="B109" s="3">
        <v>45522</v>
      </c>
      <c r="C109" t="s">
        <v>1</v>
      </c>
      <c r="D109" t="s">
        <v>8</v>
      </c>
      <c r="E109">
        <v>2</v>
      </c>
      <c r="F109" s="5">
        <v>98106</v>
      </c>
      <c r="G109">
        <v>1021</v>
      </c>
      <c r="H109" t="s">
        <v>10</v>
      </c>
      <c r="I109" s="5">
        <f t="shared" si="4"/>
        <v>196212</v>
      </c>
      <c r="J109">
        <f t="shared" si="5"/>
        <v>8</v>
      </c>
      <c r="K109">
        <f t="shared" si="3"/>
        <v>2024</v>
      </c>
    </row>
    <row r="110" spans="1:11" x14ac:dyDescent="0.25">
      <c r="A110">
        <v>147</v>
      </c>
      <c r="B110" s="3">
        <v>45528</v>
      </c>
      <c r="C110" t="s">
        <v>6</v>
      </c>
      <c r="D110" t="s">
        <v>8</v>
      </c>
      <c r="E110">
        <v>11</v>
      </c>
      <c r="F110" s="5">
        <v>294226</v>
      </c>
      <c r="G110">
        <v>1043</v>
      </c>
      <c r="H110" t="s">
        <v>12</v>
      </c>
      <c r="I110" s="5">
        <f t="shared" si="4"/>
        <v>3236486</v>
      </c>
      <c r="J110">
        <f t="shared" si="5"/>
        <v>8</v>
      </c>
      <c r="K110">
        <f t="shared" si="3"/>
        <v>2024</v>
      </c>
    </row>
    <row r="111" spans="1:11" x14ac:dyDescent="0.25">
      <c r="A111">
        <v>148</v>
      </c>
      <c r="B111" s="3">
        <v>45434</v>
      </c>
      <c r="C111" t="s">
        <v>5</v>
      </c>
      <c r="D111" t="s">
        <v>8</v>
      </c>
      <c r="E111">
        <v>1</v>
      </c>
      <c r="F111" s="5">
        <v>296385</v>
      </c>
      <c r="G111">
        <v>1057</v>
      </c>
      <c r="H111" t="s">
        <v>11</v>
      </c>
      <c r="I111" s="5">
        <f t="shared" si="4"/>
        <v>296385</v>
      </c>
      <c r="J111">
        <f t="shared" si="5"/>
        <v>5</v>
      </c>
      <c r="K111">
        <f t="shared" si="3"/>
        <v>2024</v>
      </c>
    </row>
    <row r="112" spans="1:11" x14ac:dyDescent="0.25">
      <c r="A112">
        <v>149</v>
      </c>
      <c r="B112" s="3">
        <v>45462</v>
      </c>
      <c r="C112" t="s">
        <v>5</v>
      </c>
      <c r="D112" t="s">
        <v>8</v>
      </c>
      <c r="E112">
        <v>10</v>
      </c>
      <c r="F112" s="5">
        <v>232286</v>
      </c>
      <c r="G112">
        <v>1035</v>
      </c>
      <c r="H112" t="s">
        <v>12</v>
      </c>
      <c r="I112" s="5">
        <f t="shared" si="4"/>
        <v>2322860</v>
      </c>
      <c r="J112">
        <f t="shared" si="5"/>
        <v>6</v>
      </c>
      <c r="K112">
        <f t="shared" si="3"/>
        <v>2024</v>
      </c>
    </row>
    <row r="113" spans="1:11" x14ac:dyDescent="0.25">
      <c r="A113">
        <v>150</v>
      </c>
      <c r="B113" s="3">
        <v>45320</v>
      </c>
      <c r="C113" t="s">
        <v>2</v>
      </c>
      <c r="D113" t="s">
        <v>8</v>
      </c>
      <c r="E113">
        <v>7</v>
      </c>
      <c r="F113" s="5">
        <v>16745</v>
      </c>
      <c r="G113">
        <v>1068</v>
      </c>
      <c r="H113" t="s">
        <v>11</v>
      </c>
      <c r="I113" s="5">
        <f t="shared" si="4"/>
        <v>117215</v>
      </c>
      <c r="J113">
        <f t="shared" si="5"/>
        <v>1</v>
      </c>
      <c r="K113">
        <f t="shared" si="3"/>
        <v>2024</v>
      </c>
    </row>
    <row r="114" spans="1:11" x14ac:dyDescent="0.25">
      <c r="A114">
        <v>151</v>
      </c>
      <c r="B114" s="3">
        <v>45327</v>
      </c>
      <c r="C114" t="s">
        <v>1</v>
      </c>
      <c r="D114" t="s">
        <v>8</v>
      </c>
      <c r="E114">
        <v>5</v>
      </c>
      <c r="F114" s="5">
        <v>293173</v>
      </c>
      <c r="G114">
        <v>1076</v>
      </c>
      <c r="H114" t="s">
        <v>10</v>
      </c>
      <c r="I114" s="5">
        <f t="shared" si="4"/>
        <v>1465865</v>
      </c>
      <c r="J114">
        <f t="shared" si="5"/>
        <v>2</v>
      </c>
      <c r="K114">
        <f t="shared" si="3"/>
        <v>2024</v>
      </c>
    </row>
    <row r="115" spans="1:11" x14ac:dyDescent="0.25">
      <c r="A115">
        <v>152</v>
      </c>
      <c r="B115" s="3">
        <v>45304</v>
      </c>
      <c r="C115" t="s">
        <v>4</v>
      </c>
      <c r="D115" t="s">
        <v>8</v>
      </c>
      <c r="E115">
        <v>5</v>
      </c>
      <c r="F115" s="5">
        <v>149097</v>
      </c>
      <c r="G115">
        <v>1092</v>
      </c>
      <c r="H115" t="s">
        <v>12</v>
      </c>
      <c r="I115" s="5">
        <f t="shared" si="4"/>
        <v>745485</v>
      </c>
      <c r="J115">
        <f t="shared" si="5"/>
        <v>1</v>
      </c>
      <c r="K115">
        <f t="shared" si="3"/>
        <v>2024</v>
      </c>
    </row>
    <row r="116" spans="1:11" x14ac:dyDescent="0.25">
      <c r="A116">
        <v>153</v>
      </c>
      <c r="B116" s="3">
        <v>45451</v>
      </c>
      <c r="C116" t="s">
        <v>3</v>
      </c>
      <c r="D116" t="s">
        <v>8</v>
      </c>
      <c r="E116">
        <v>4</v>
      </c>
      <c r="F116" s="5">
        <v>237732</v>
      </c>
      <c r="G116">
        <v>1030</v>
      </c>
      <c r="H116" t="s">
        <v>11</v>
      </c>
      <c r="I116" s="5">
        <f t="shared" si="4"/>
        <v>950928</v>
      </c>
      <c r="J116">
        <f t="shared" si="5"/>
        <v>6</v>
      </c>
      <c r="K116">
        <f t="shared" si="3"/>
        <v>2024</v>
      </c>
    </row>
    <row r="117" spans="1:11" x14ac:dyDescent="0.25">
      <c r="A117">
        <v>154</v>
      </c>
      <c r="B117" s="3">
        <v>45618</v>
      </c>
      <c r="C117" t="s">
        <v>2</v>
      </c>
      <c r="D117" t="s">
        <v>8</v>
      </c>
      <c r="E117">
        <v>5</v>
      </c>
      <c r="F117" s="5">
        <v>150360</v>
      </c>
      <c r="G117">
        <v>1046</v>
      </c>
      <c r="H117" t="s">
        <v>12</v>
      </c>
      <c r="I117" s="5">
        <f t="shared" si="4"/>
        <v>751800</v>
      </c>
      <c r="J117">
        <f t="shared" si="5"/>
        <v>11</v>
      </c>
      <c r="K117">
        <f t="shared" si="3"/>
        <v>2024</v>
      </c>
    </row>
    <row r="118" spans="1:11" x14ac:dyDescent="0.25">
      <c r="A118">
        <v>155</v>
      </c>
      <c r="B118" s="3">
        <v>45478</v>
      </c>
      <c r="C118" t="s">
        <v>2</v>
      </c>
      <c r="D118" t="s">
        <v>8</v>
      </c>
      <c r="E118">
        <v>11</v>
      </c>
      <c r="F118" s="5">
        <v>94186</v>
      </c>
      <c r="G118">
        <v>1054</v>
      </c>
      <c r="H118" t="s">
        <v>12</v>
      </c>
      <c r="I118" s="5">
        <f t="shared" si="4"/>
        <v>1036046</v>
      </c>
      <c r="J118">
        <f t="shared" si="5"/>
        <v>7</v>
      </c>
      <c r="K118">
        <f t="shared" si="3"/>
        <v>2024</v>
      </c>
    </row>
    <row r="119" spans="1:11" x14ac:dyDescent="0.25">
      <c r="A119">
        <v>156</v>
      </c>
      <c r="B119" s="3">
        <v>45534</v>
      </c>
      <c r="C119" t="s">
        <v>4</v>
      </c>
      <c r="D119" t="s">
        <v>8</v>
      </c>
      <c r="E119">
        <v>3</v>
      </c>
      <c r="F119" s="5">
        <v>218030</v>
      </c>
      <c r="G119">
        <v>1079</v>
      </c>
      <c r="H119" t="s">
        <v>12</v>
      </c>
      <c r="I119" s="5">
        <f t="shared" si="4"/>
        <v>654090</v>
      </c>
      <c r="J119">
        <f t="shared" si="5"/>
        <v>8</v>
      </c>
      <c r="K119">
        <f t="shared" si="3"/>
        <v>2024</v>
      </c>
    </row>
    <row r="120" spans="1:11" x14ac:dyDescent="0.25">
      <c r="A120">
        <v>158</v>
      </c>
      <c r="B120" s="3">
        <v>45575</v>
      </c>
      <c r="C120" t="s">
        <v>6</v>
      </c>
      <c r="D120" t="s">
        <v>8</v>
      </c>
      <c r="E120">
        <v>12</v>
      </c>
      <c r="F120" s="5">
        <v>46846</v>
      </c>
      <c r="G120">
        <v>1029</v>
      </c>
      <c r="H120" t="s">
        <v>11</v>
      </c>
      <c r="I120" s="5">
        <f t="shared" si="4"/>
        <v>562152</v>
      </c>
      <c r="J120">
        <f t="shared" si="5"/>
        <v>10</v>
      </c>
      <c r="K120">
        <f t="shared" si="3"/>
        <v>2024</v>
      </c>
    </row>
    <row r="121" spans="1:11" x14ac:dyDescent="0.25">
      <c r="A121">
        <v>160</v>
      </c>
      <c r="B121" s="3">
        <v>45461</v>
      </c>
      <c r="C121" t="s">
        <v>1</v>
      </c>
      <c r="D121" t="s">
        <v>8</v>
      </c>
      <c r="E121">
        <v>14</v>
      </c>
      <c r="F121" s="5">
        <v>290555</v>
      </c>
      <c r="G121">
        <v>1015</v>
      </c>
      <c r="H121" t="s">
        <v>11</v>
      </c>
      <c r="I121" s="5">
        <f t="shared" si="4"/>
        <v>4067770</v>
      </c>
      <c r="J121">
        <f t="shared" si="5"/>
        <v>6</v>
      </c>
      <c r="K121">
        <f t="shared" si="3"/>
        <v>2024</v>
      </c>
    </row>
    <row r="122" spans="1:11" x14ac:dyDescent="0.25">
      <c r="A122">
        <v>162</v>
      </c>
      <c r="B122" s="3">
        <v>45353</v>
      </c>
      <c r="C122" t="s">
        <v>6</v>
      </c>
      <c r="D122" t="s">
        <v>8</v>
      </c>
      <c r="E122">
        <v>12</v>
      </c>
      <c r="F122" s="5">
        <v>57930</v>
      </c>
      <c r="G122">
        <v>1016</v>
      </c>
      <c r="H122" t="s">
        <v>11</v>
      </c>
      <c r="I122" s="5">
        <f t="shared" si="4"/>
        <v>695160</v>
      </c>
      <c r="J122">
        <f t="shared" si="5"/>
        <v>3</v>
      </c>
      <c r="K122">
        <f t="shared" si="3"/>
        <v>2024</v>
      </c>
    </row>
    <row r="123" spans="1:11" x14ac:dyDescent="0.25">
      <c r="A123">
        <v>164</v>
      </c>
      <c r="B123" s="3">
        <v>45575</v>
      </c>
      <c r="C123" t="s">
        <v>2</v>
      </c>
      <c r="D123" t="s">
        <v>8</v>
      </c>
      <c r="E123">
        <v>11</v>
      </c>
      <c r="F123" s="5">
        <v>249459</v>
      </c>
      <c r="G123">
        <v>1011</v>
      </c>
      <c r="H123" t="s">
        <v>12</v>
      </c>
      <c r="I123" s="5">
        <f t="shared" si="4"/>
        <v>2744049</v>
      </c>
      <c r="J123">
        <f t="shared" si="5"/>
        <v>10</v>
      </c>
      <c r="K123">
        <f t="shared" si="3"/>
        <v>2024</v>
      </c>
    </row>
    <row r="124" spans="1:11" x14ac:dyDescent="0.25">
      <c r="A124">
        <v>165</v>
      </c>
      <c r="B124" s="3">
        <v>45319</v>
      </c>
      <c r="C124" t="s">
        <v>3</v>
      </c>
      <c r="D124" t="s">
        <v>8</v>
      </c>
      <c r="E124">
        <v>5</v>
      </c>
      <c r="F124" s="5">
        <v>229695</v>
      </c>
      <c r="G124">
        <v>1007</v>
      </c>
      <c r="H124" t="s">
        <v>12</v>
      </c>
      <c r="I124" s="5">
        <f t="shared" si="4"/>
        <v>1148475</v>
      </c>
      <c r="J124">
        <f t="shared" si="5"/>
        <v>1</v>
      </c>
      <c r="K124">
        <f t="shared" si="3"/>
        <v>2024</v>
      </c>
    </row>
    <row r="125" spans="1:11" x14ac:dyDescent="0.25">
      <c r="A125">
        <v>166</v>
      </c>
      <c r="B125" s="3">
        <v>45399</v>
      </c>
      <c r="C125" t="s">
        <v>2</v>
      </c>
      <c r="D125" t="s">
        <v>8</v>
      </c>
      <c r="E125">
        <v>5</v>
      </c>
      <c r="F125" s="5">
        <v>58268</v>
      </c>
      <c r="G125">
        <v>1083</v>
      </c>
      <c r="H125" t="s">
        <v>12</v>
      </c>
      <c r="I125" s="5">
        <f t="shared" si="4"/>
        <v>291340</v>
      </c>
      <c r="J125">
        <f t="shared" si="5"/>
        <v>4</v>
      </c>
      <c r="K125">
        <f t="shared" si="3"/>
        <v>2024</v>
      </c>
    </row>
    <row r="126" spans="1:11" x14ac:dyDescent="0.25">
      <c r="A126">
        <v>167</v>
      </c>
      <c r="B126" s="3">
        <v>45335</v>
      </c>
      <c r="C126" t="s">
        <v>5</v>
      </c>
      <c r="D126" t="s">
        <v>8</v>
      </c>
      <c r="E126">
        <v>4</v>
      </c>
      <c r="F126" s="5">
        <v>217943</v>
      </c>
      <c r="G126">
        <v>1002</v>
      </c>
      <c r="H126" t="s">
        <v>10</v>
      </c>
      <c r="I126" s="5">
        <f t="shared" si="4"/>
        <v>871772</v>
      </c>
      <c r="J126">
        <f t="shared" si="5"/>
        <v>2</v>
      </c>
      <c r="K126">
        <f t="shared" si="3"/>
        <v>2024</v>
      </c>
    </row>
    <row r="127" spans="1:11" x14ac:dyDescent="0.25">
      <c r="A127">
        <v>168</v>
      </c>
      <c r="B127" s="3">
        <v>45631</v>
      </c>
      <c r="C127" t="s">
        <v>2</v>
      </c>
      <c r="D127" t="s">
        <v>8</v>
      </c>
      <c r="E127">
        <v>3</v>
      </c>
      <c r="F127" s="5">
        <v>263916</v>
      </c>
      <c r="G127">
        <v>1015</v>
      </c>
      <c r="H127" t="s">
        <v>12</v>
      </c>
      <c r="I127" s="5">
        <f t="shared" si="4"/>
        <v>791748</v>
      </c>
      <c r="J127">
        <f t="shared" si="5"/>
        <v>12</v>
      </c>
      <c r="K127">
        <f t="shared" si="3"/>
        <v>2024</v>
      </c>
    </row>
    <row r="128" spans="1:11" x14ac:dyDescent="0.25">
      <c r="A128">
        <v>169</v>
      </c>
      <c r="B128" s="3">
        <v>45577</v>
      </c>
      <c r="C128" t="s">
        <v>2</v>
      </c>
      <c r="D128" t="s">
        <v>8</v>
      </c>
      <c r="E128">
        <v>3</v>
      </c>
      <c r="F128" s="5">
        <v>189403</v>
      </c>
      <c r="G128">
        <v>1029</v>
      </c>
      <c r="H128" t="s">
        <v>10</v>
      </c>
      <c r="I128" s="5">
        <f t="shared" si="4"/>
        <v>568209</v>
      </c>
      <c r="J128">
        <f t="shared" si="5"/>
        <v>10</v>
      </c>
      <c r="K128">
        <f t="shared" si="3"/>
        <v>2024</v>
      </c>
    </row>
    <row r="129" spans="1:11" x14ac:dyDescent="0.25">
      <c r="A129">
        <v>171</v>
      </c>
      <c r="B129" s="3">
        <v>45419</v>
      </c>
      <c r="C129" t="s">
        <v>6</v>
      </c>
      <c r="D129" t="s">
        <v>8</v>
      </c>
      <c r="E129">
        <v>4</v>
      </c>
      <c r="F129" s="5">
        <v>199488</v>
      </c>
      <c r="G129">
        <v>1091</v>
      </c>
      <c r="H129" t="s">
        <v>12</v>
      </c>
      <c r="I129" s="5">
        <f t="shared" si="4"/>
        <v>797952</v>
      </c>
      <c r="J129">
        <f t="shared" si="5"/>
        <v>5</v>
      </c>
      <c r="K129">
        <f t="shared" si="3"/>
        <v>2024</v>
      </c>
    </row>
    <row r="130" spans="1:11" x14ac:dyDescent="0.25">
      <c r="A130">
        <v>172</v>
      </c>
      <c r="B130" s="3">
        <v>45639</v>
      </c>
      <c r="C130" t="s">
        <v>6</v>
      </c>
      <c r="D130" t="s">
        <v>8</v>
      </c>
      <c r="E130">
        <v>5</v>
      </c>
      <c r="F130" s="5">
        <v>168268</v>
      </c>
      <c r="G130">
        <v>1004</v>
      </c>
      <c r="H130" t="s">
        <v>11</v>
      </c>
      <c r="I130" s="5">
        <f t="shared" si="4"/>
        <v>841340</v>
      </c>
      <c r="J130">
        <f t="shared" si="5"/>
        <v>12</v>
      </c>
      <c r="K130">
        <f t="shared" si="3"/>
        <v>2024</v>
      </c>
    </row>
    <row r="131" spans="1:11" x14ac:dyDescent="0.25">
      <c r="A131">
        <v>173</v>
      </c>
      <c r="B131" s="3">
        <v>45522</v>
      </c>
      <c r="C131" t="s">
        <v>7</v>
      </c>
      <c r="D131" t="s">
        <v>9</v>
      </c>
      <c r="E131">
        <v>7</v>
      </c>
      <c r="F131" s="5">
        <v>272770</v>
      </c>
      <c r="G131">
        <v>1083</v>
      </c>
      <c r="H131" t="s">
        <v>10</v>
      </c>
      <c r="I131" s="5">
        <f t="shared" si="4"/>
        <v>1909390</v>
      </c>
      <c r="J131">
        <f t="shared" si="5"/>
        <v>8</v>
      </c>
      <c r="K131">
        <f t="shared" ref="K131:K194" si="6">YEAR(B131)</f>
        <v>2024</v>
      </c>
    </row>
    <row r="132" spans="1:11" x14ac:dyDescent="0.25">
      <c r="A132">
        <v>174</v>
      </c>
      <c r="B132" s="3">
        <v>45481</v>
      </c>
      <c r="C132" t="s">
        <v>5</v>
      </c>
      <c r="D132" t="s">
        <v>8</v>
      </c>
      <c r="E132">
        <v>12</v>
      </c>
      <c r="F132" s="5">
        <v>143496</v>
      </c>
      <c r="G132">
        <v>1064</v>
      </c>
      <c r="H132" t="s">
        <v>11</v>
      </c>
      <c r="I132" s="5">
        <f t="shared" ref="I132:I195" si="7">E132*F132</f>
        <v>1721952</v>
      </c>
      <c r="J132">
        <f t="shared" ref="J132:J195" si="8">MONTH(B132)</f>
        <v>7</v>
      </c>
      <c r="K132">
        <f t="shared" si="6"/>
        <v>2024</v>
      </c>
    </row>
    <row r="133" spans="1:11" x14ac:dyDescent="0.25">
      <c r="A133">
        <v>175</v>
      </c>
      <c r="B133" s="3">
        <v>45516</v>
      </c>
      <c r="C133" t="s">
        <v>0</v>
      </c>
      <c r="D133" t="s">
        <v>8</v>
      </c>
      <c r="E133">
        <v>12</v>
      </c>
      <c r="F133" s="5">
        <v>280001</v>
      </c>
      <c r="G133">
        <v>1029</v>
      </c>
      <c r="H133" t="s">
        <v>11</v>
      </c>
      <c r="I133" s="5">
        <f t="shared" si="7"/>
        <v>3360012</v>
      </c>
      <c r="J133">
        <f t="shared" si="8"/>
        <v>8</v>
      </c>
      <c r="K133">
        <f t="shared" si="6"/>
        <v>2024</v>
      </c>
    </row>
    <row r="134" spans="1:11" x14ac:dyDescent="0.25">
      <c r="A134">
        <v>177</v>
      </c>
      <c r="B134" s="3">
        <v>45412</v>
      </c>
      <c r="C134" t="s">
        <v>6</v>
      </c>
      <c r="D134" t="s">
        <v>8</v>
      </c>
      <c r="E134">
        <v>4</v>
      </c>
      <c r="F134" s="5">
        <v>251693</v>
      </c>
      <c r="G134">
        <v>1083</v>
      </c>
      <c r="H134" t="s">
        <v>10</v>
      </c>
      <c r="I134" s="5">
        <f t="shared" si="7"/>
        <v>1006772</v>
      </c>
      <c r="J134">
        <f t="shared" si="8"/>
        <v>4</v>
      </c>
      <c r="K134">
        <f t="shared" si="6"/>
        <v>2024</v>
      </c>
    </row>
    <row r="135" spans="1:11" x14ac:dyDescent="0.25">
      <c r="A135">
        <v>178</v>
      </c>
      <c r="B135" s="3">
        <v>45407</v>
      </c>
      <c r="C135" t="s">
        <v>3</v>
      </c>
      <c r="D135" t="s">
        <v>8</v>
      </c>
      <c r="E135">
        <v>1</v>
      </c>
      <c r="F135" s="5">
        <v>184362</v>
      </c>
      <c r="G135">
        <v>1069</v>
      </c>
      <c r="H135" t="s">
        <v>10</v>
      </c>
      <c r="I135" s="5">
        <f t="shared" si="7"/>
        <v>184362</v>
      </c>
      <c r="J135">
        <f t="shared" si="8"/>
        <v>4</v>
      </c>
      <c r="K135">
        <f t="shared" si="6"/>
        <v>2024</v>
      </c>
    </row>
    <row r="136" spans="1:11" x14ac:dyDescent="0.25">
      <c r="A136">
        <v>179</v>
      </c>
      <c r="B136" s="3">
        <v>45524</v>
      </c>
      <c r="C136" t="s">
        <v>7</v>
      </c>
      <c r="D136" t="s">
        <v>9</v>
      </c>
      <c r="E136">
        <v>3</v>
      </c>
      <c r="F136" s="5">
        <v>31431</v>
      </c>
      <c r="G136">
        <v>1021</v>
      </c>
      <c r="H136" t="s">
        <v>12</v>
      </c>
      <c r="I136" s="5">
        <f t="shared" si="7"/>
        <v>94293</v>
      </c>
      <c r="J136">
        <f t="shared" si="8"/>
        <v>8</v>
      </c>
      <c r="K136">
        <f t="shared" si="6"/>
        <v>2024</v>
      </c>
    </row>
    <row r="137" spans="1:11" x14ac:dyDescent="0.25">
      <c r="A137">
        <v>181</v>
      </c>
      <c r="B137" s="3">
        <v>45650</v>
      </c>
      <c r="C137" t="s">
        <v>3</v>
      </c>
      <c r="D137" t="s">
        <v>8</v>
      </c>
      <c r="E137">
        <v>2</v>
      </c>
      <c r="F137" s="5">
        <v>31385</v>
      </c>
      <c r="G137">
        <v>1071</v>
      </c>
      <c r="H137" t="s">
        <v>12</v>
      </c>
      <c r="I137" s="5">
        <f t="shared" si="7"/>
        <v>62770</v>
      </c>
      <c r="J137">
        <f t="shared" si="8"/>
        <v>12</v>
      </c>
      <c r="K137">
        <f t="shared" si="6"/>
        <v>2024</v>
      </c>
    </row>
    <row r="138" spans="1:11" x14ac:dyDescent="0.25">
      <c r="A138">
        <v>183</v>
      </c>
      <c r="B138" s="3">
        <v>45428</v>
      </c>
      <c r="C138" t="s">
        <v>1</v>
      </c>
      <c r="D138" t="s">
        <v>8</v>
      </c>
      <c r="E138">
        <v>1</v>
      </c>
      <c r="F138" s="5">
        <v>90530</v>
      </c>
      <c r="G138">
        <v>1032</v>
      </c>
      <c r="H138" t="s">
        <v>10</v>
      </c>
      <c r="I138" s="5">
        <f t="shared" si="7"/>
        <v>90530</v>
      </c>
      <c r="J138">
        <f t="shared" si="8"/>
        <v>5</v>
      </c>
      <c r="K138">
        <f t="shared" si="6"/>
        <v>2024</v>
      </c>
    </row>
    <row r="139" spans="1:11" x14ac:dyDescent="0.25">
      <c r="A139">
        <v>185</v>
      </c>
      <c r="B139" s="3">
        <v>45456</v>
      </c>
      <c r="C139" t="s">
        <v>6</v>
      </c>
      <c r="D139" t="s">
        <v>8</v>
      </c>
      <c r="E139">
        <v>7</v>
      </c>
      <c r="F139" s="5">
        <v>288707</v>
      </c>
      <c r="G139">
        <v>1075</v>
      </c>
      <c r="H139" t="s">
        <v>10</v>
      </c>
      <c r="I139" s="5">
        <f t="shared" si="7"/>
        <v>2020949</v>
      </c>
      <c r="J139">
        <f t="shared" si="8"/>
        <v>6</v>
      </c>
      <c r="K139">
        <f t="shared" si="6"/>
        <v>2024</v>
      </c>
    </row>
    <row r="140" spans="1:11" x14ac:dyDescent="0.25">
      <c r="A140">
        <v>186</v>
      </c>
      <c r="B140" s="3">
        <v>45516</v>
      </c>
      <c r="C140" t="s">
        <v>4</v>
      </c>
      <c r="D140" t="s">
        <v>8</v>
      </c>
      <c r="E140">
        <v>2</v>
      </c>
      <c r="F140" s="5">
        <v>210390</v>
      </c>
      <c r="G140">
        <v>1037</v>
      </c>
      <c r="H140" t="s">
        <v>11</v>
      </c>
      <c r="I140" s="5">
        <f t="shared" si="7"/>
        <v>420780</v>
      </c>
      <c r="J140">
        <f t="shared" si="8"/>
        <v>8</v>
      </c>
      <c r="K140">
        <f t="shared" si="6"/>
        <v>2024</v>
      </c>
    </row>
    <row r="141" spans="1:11" x14ac:dyDescent="0.25">
      <c r="A141">
        <v>187</v>
      </c>
      <c r="B141" s="3">
        <v>45598</v>
      </c>
      <c r="C141" t="s">
        <v>4</v>
      </c>
      <c r="D141" t="s">
        <v>8</v>
      </c>
      <c r="E141">
        <v>7</v>
      </c>
      <c r="F141" s="5">
        <v>248373</v>
      </c>
      <c r="G141">
        <v>1097</v>
      </c>
      <c r="H141" t="s">
        <v>10</v>
      </c>
      <c r="I141" s="5">
        <f t="shared" si="7"/>
        <v>1738611</v>
      </c>
      <c r="J141">
        <f t="shared" si="8"/>
        <v>11</v>
      </c>
      <c r="K141">
        <f t="shared" si="6"/>
        <v>2024</v>
      </c>
    </row>
    <row r="142" spans="1:11" x14ac:dyDescent="0.25">
      <c r="A142">
        <v>189</v>
      </c>
      <c r="B142" s="3">
        <v>45463</v>
      </c>
      <c r="C142" t="s">
        <v>4</v>
      </c>
      <c r="D142" t="s">
        <v>8</v>
      </c>
      <c r="E142">
        <v>3</v>
      </c>
      <c r="F142" s="5">
        <v>175182</v>
      </c>
      <c r="G142">
        <v>1035</v>
      </c>
      <c r="H142" t="s">
        <v>12</v>
      </c>
      <c r="I142" s="5">
        <f t="shared" si="7"/>
        <v>525546</v>
      </c>
      <c r="J142">
        <f t="shared" si="8"/>
        <v>6</v>
      </c>
      <c r="K142">
        <f t="shared" si="6"/>
        <v>2024</v>
      </c>
    </row>
    <row r="143" spans="1:11" x14ac:dyDescent="0.25">
      <c r="A143">
        <v>190</v>
      </c>
      <c r="B143" s="3">
        <v>45443</v>
      </c>
      <c r="C143" t="s">
        <v>1</v>
      </c>
      <c r="D143" t="s">
        <v>8</v>
      </c>
      <c r="E143">
        <v>10</v>
      </c>
      <c r="F143" s="5">
        <v>197860</v>
      </c>
      <c r="G143">
        <v>1096</v>
      </c>
      <c r="H143" t="s">
        <v>11</v>
      </c>
      <c r="I143" s="5">
        <f t="shared" si="7"/>
        <v>1978600</v>
      </c>
      <c r="J143">
        <f t="shared" si="8"/>
        <v>5</v>
      </c>
      <c r="K143">
        <f t="shared" si="6"/>
        <v>2024</v>
      </c>
    </row>
    <row r="144" spans="1:11" x14ac:dyDescent="0.25">
      <c r="A144">
        <v>191</v>
      </c>
      <c r="B144" s="3">
        <v>45606</v>
      </c>
      <c r="C144" t="s">
        <v>5</v>
      </c>
      <c r="D144" t="s">
        <v>8</v>
      </c>
      <c r="E144">
        <v>12</v>
      </c>
      <c r="F144" s="5">
        <v>87879</v>
      </c>
      <c r="G144">
        <v>1022</v>
      </c>
      <c r="H144" t="s">
        <v>12</v>
      </c>
      <c r="I144" s="5">
        <f t="shared" si="7"/>
        <v>1054548</v>
      </c>
      <c r="J144">
        <f t="shared" si="8"/>
        <v>11</v>
      </c>
      <c r="K144">
        <f t="shared" si="6"/>
        <v>2024</v>
      </c>
    </row>
    <row r="145" spans="1:11" x14ac:dyDescent="0.25">
      <c r="A145">
        <v>192</v>
      </c>
      <c r="B145" s="3">
        <v>45451</v>
      </c>
      <c r="C145" t="s">
        <v>6</v>
      </c>
      <c r="D145" t="s">
        <v>8</v>
      </c>
      <c r="E145">
        <v>1</v>
      </c>
      <c r="F145" s="5">
        <v>243260</v>
      </c>
      <c r="G145">
        <v>1065</v>
      </c>
      <c r="H145" t="s">
        <v>11</v>
      </c>
      <c r="I145" s="5">
        <f t="shared" si="7"/>
        <v>243260</v>
      </c>
      <c r="J145">
        <f t="shared" si="8"/>
        <v>6</v>
      </c>
      <c r="K145">
        <f t="shared" si="6"/>
        <v>2024</v>
      </c>
    </row>
    <row r="146" spans="1:11" x14ac:dyDescent="0.25">
      <c r="A146">
        <v>193</v>
      </c>
      <c r="B146" s="3">
        <v>45387</v>
      </c>
      <c r="C146" t="s">
        <v>4</v>
      </c>
      <c r="D146" t="s">
        <v>8</v>
      </c>
      <c r="E146">
        <v>10</v>
      </c>
      <c r="F146" s="5">
        <v>151323</v>
      </c>
      <c r="G146">
        <v>1084</v>
      </c>
      <c r="H146" t="s">
        <v>12</v>
      </c>
      <c r="I146" s="5">
        <f t="shared" si="7"/>
        <v>1513230</v>
      </c>
      <c r="J146">
        <f t="shared" si="8"/>
        <v>4</v>
      </c>
      <c r="K146">
        <f t="shared" si="6"/>
        <v>2024</v>
      </c>
    </row>
    <row r="147" spans="1:11" x14ac:dyDescent="0.25">
      <c r="A147">
        <v>194</v>
      </c>
      <c r="B147" s="3">
        <v>45524</v>
      </c>
      <c r="C147" t="s">
        <v>7</v>
      </c>
      <c r="D147" t="s">
        <v>9</v>
      </c>
      <c r="E147">
        <v>12</v>
      </c>
      <c r="F147" s="5">
        <v>127413</v>
      </c>
      <c r="G147">
        <v>1001</v>
      </c>
      <c r="H147" t="s">
        <v>10</v>
      </c>
      <c r="I147" s="5">
        <f t="shared" si="7"/>
        <v>1528956</v>
      </c>
      <c r="J147">
        <f t="shared" si="8"/>
        <v>8</v>
      </c>
      <c r="K147">
        <f t="shared" si="6"/>
        <v>2024</v>
      </c>
    </row>
    <row r="148" spans="1:11" x14ac:dyDescent="0.25">
      <c r="A148">
        <v>195</v>
      </c>
      <c r="B148" s="3">
        <v>45471</v>
      </c>
      <c r="C148" t="s">
        <v>1</v>
      </c>
      <c r="D148" t="s">
        <v>8</v>
      </c>
      <c r="E148">
        <v>5</v>
      </c>
      <c r="F148" s="5">
        <v>267670</v>
      </c>
      <c r="G148">
        <v>1090</v>
      </c>
      <c r="H148" t="s">
        <v>12</v>
      </c>
      <c r="I148" s="5">
        <f t="shared" si="7"/>
        <v>1338350</v>
      </c>
      <c r="J148">
        <f t="shared" si="8"/>
        <v>6</v>
      </c>
      <c r="K148">
        <f t="shared" si="6"/>
        <v>2024</v>
      </c>
    </row>
    <row r="149" spans="1:11" x14ac:dyDescent="0.25">
      <c r="A149">
        <v>196</v>
      </c>
      <c r="B149" s="3">
        <v>45404</v>
      </c>
      <c r="C149" t="s">
        <v>5</v>
      </c>
      <c r="D149" t="s">
        <v>8</v>
      </c>
      <c r="E149">
        <v>2</v>
      </c>
      <c r="F149" s="5">
        <v>52837</v>
      </c>
      <c r="G149">
        <v>1072</v>
      </c>
      <c r="H149" t="s">
        <v>10</v>
      </c>
      <c r="I149" s="5">
        <f t="shared" si="7"/>
        <v>105674</v>
      </c>
      <c r="J149">
        <f t="shared" si="8"/>
        <v>4</v>
      </c>
      <c r="K149">
        <f t="shared" si="6"/>
        <v>2024</v>
      </c>
    </row>
    <row r="150" spans="1:11" x14ac:dyDescent="0.25">
      <c r="A150">
        <v>197</v>
      </c>
      <c r="B150" s="3">
        <v>45609</v>
      </c>
      <c r="C150" t="s">
        <v>2</v>
      </c>
      <c r="D150" t="s">
        <v>8</v>
      </c>
      <c r="E150">
        <v>12</v>
      </c>
      <c r="F150" s="5">
        <v>265550</v>
      </c>
      <c r="G150">
        <v>1064</v>
      </c>
      <c r="H150" t="s">
        <v>10</v>
      </c>
      <c r="I150" s="5">
        <f t="shared" si="7"/>
        <v>3186600</v>
      </c>
      <c r="J150">
        <f t="shared" si="8"/>
        <v>11</v>
      </c>
      <c r="K150">
        <f t="shared" si="6"/>
        <v>2024</v>
      </c>
    </row>
    <row r="151" spans="1:11" x14ac:dyDescent="0.25">
      <c r="A151">
        <v>198</v>
      </c>
      <c r="B151" s="3">
        <v>45343</v>
      </c>
      <c r="C151" t="s">
        <v>2</v>
      </c>
      <c r="D151" t="s">
        <v>8</v>
      </c>
      <c r="E151">
        <v>1</v>
      </c>
      <c r="F151" s="5">
        <v>278680</v>
      </c>
      <c r="G151">
        <v>1074</v>
      </c>
      <c r="H151" t="s">
        <v>12</v>
      </c>
      <c r="I151" s="5">
        <f t="shared" si="7"/>
        <v>278680</v>
      </c>
      <c r="J151">
        <f t="shared" si="8"/>
        <v>2</v>
      </c>
      <c r="K151">
        <f t="shared" si="6"/>
        <v>2024</v>
      </c>
    </row>
    <row r="152" spans="1:11" x14ac:dyDescent="0.25">
      <c r="A152">
        <v>199</v>
      </c>
      <c r="B152" s="3">
        <v>45559</v>
      </c>
      <c r="C152" t="s">
        <v>5</v>
      </c>
      <c r="D152" t="s">
        <v>8</v>
      </c>
      <c r="E152">
        <v>9</v>
      </c>
      <c r="F152" s="5">
        <v>33541</v>
      </c>
      <c r="G152">
        <v>1066</v>
      </c>
      <c r="H152" t="s">
        <v>11</v>
      </c>
      <c r="I152" s="5">
        <f t="shared" si="7"/>
        <v>301869</v>
      </c>
      <c r="J152">
        <f t="shared" si="8"/>
        <v>9</v>
      </c>
      <c r="K152">
        <f t="shared" si="6"/>
        <v>2024</v>
      </c>
    </row>
    <row r="153" spans="1:11" x14ac:dyDescent="0.25">
      <c r="A153">
        <v>200</v>
      </c>
      <c r="B153" s="3">
        <v>45586</v>
      </c>
      <c r="C153" t="s">
        <v>1</v>
      </c>
      <c r="D153" t="s">
        <v>8</v>
      </c>
      <c r="E153">
        <v>10</v>
      </c>
      <c r="F153" s="5">
        <v>84083</v>
      </c>
      <c r="G153">
        <v>1051</v>
      </c>
      <c r="H153" t="s">
        <v>11</v>
      </c>
      <c r="I153" s="5">
        <f t="shared" si="7"/>
        <v>840830</v>
      </c>
      <c r="J153">
        <f t="shared" si="8"/>
        <v>10</v>
      </c>
      <c r="K153">
        <f t="shared" si="6"/>
        <v>2024</v>
      </c>
    </row>
    <row r="154" spans="1:11" x14ac:dyDescent="0.25">
      <c r="A154">
        <v>202</v>
      </c>
      <c r="B154" s="3">
        <v>45392</v>
      </c>
      <c r="C154" t="s">
        <v>5</v>
      </c>
      <c r="D154" t="s">
        <v>8</v>
      </c>
      <c r="E154">
        <v>1</v>
      </c>
      <c r="F154" s="5">
        <v>275856</v>
      </c>
      <c r="G154">
        <v>1022</v>
      </c>
      <c r="H154" t="s">
        <v>11</v>
      </c>
      <c r="I154" s="5">
        <f t="shared" si="7"/>
        <v>275856</v>
      </c>
      <c r="J154">
        <f t="shared" si="8"/>
        <v>4</v>
      </c>
      <c r="K154">
        <f t="shared" si="6"/>
        <v>2024</v>
      </c>
    </row>
    <row r="155" spans="1:11" x14ac:dyDescent="0.25">
      <c r="A155">
        <v>203</v>
      </c>
      <c r="B155" s="3">
        <v>45404</v>
      </c>
      <c r="C155" t="s">
        <v>6</v>
      </c>
      <c r="D155" t="s">
        <v>8</v>
      </c>
      <c r="E155">
        <v>1</v>
      </c>
      <c r="F155" s="5">
        <v>79744</v>
      </c>
      <c r="G155">
        <v>1025</v>
      </c>
      <c r="H155" t="s">
        <v>11</v>
      </c>
      <c r="I155" s="5">
        <f t="shared" si="7"/>
        <v>79744</v>
      </c>
      <c r="J155">
        <f t="shared" si="8"/>
        <v>4</v>
      </c>
      <c r="K155">
        <f t="shared" si="6"/>
        <v>2024</v>
      </c>
    </row>
    <row r="156" spans="1:11" x14ac:dyDescent="0.25">
      <c r="A156">
        <v>204</v>
      </c>
      <c r="B156" s="3">
        <v>45372</v>
      </c>
      <c r="C156" t="s">
        <v>6</v>
      </c>
      <c r="D156" t="s">
        <v>8</v>
      </c>
      <c r="E156">
        <v>8</v>
      </c>
      <c r="F156" s="5">
        <v>257859</v>
      </c>
      <c r="G156">
        <v>1067</v>
      </c>
      <c r="H156" t="s">
        <v>10</v>
      </c>
      <c r="I156" s="5">
        <f t="shared" si="7"/>
        <v>2062872</v>
      </c>
      <c r="J156">
        <f t="shared" si="8"/>
        <v>3</v>
      </c>
      <c r="K156">
        <f t="shared" si="6"/>
        <v>2024</v>
      </c>
    </row>
    <row r="157" spans="1:11" x14ac:dyDescent="0.25">
      <c r="A157">
        <v>205</v>
      </c>
      <c r="B157" s="3">
        <v>45478</v>
      </c>
      <c r="C157" t="s">
        <v>2</v>
      </c>
      <c r="D157" t="s">
        <v>8</v>
      </c>
      <c r="E157">
        <v>2</v>
      </c>
      <c r="F157" s="5">
        <v>134749</v>
      </c>
      <c r="G157">
        <v>1081</v>
      </c>
      <c r="H157" t="s">
        <v>11</v>
      </c>
      <c r="I157" s="5">
        <f t="shared" si="7"/>
        <v>269498</v>
      </c>
      <c r="J157">
        <f t="shared" si="8"/>
        <v>7</v>
      </c>
      <c r="K157">
        <f t="shared" si="6"/>
        <v>2024</v>
      </c>
    </row>
    <row r="158" spans="1:11" x14ac:dyDescent="0.25">
      <c r="A158">
        <v>206</v>
      </c>
      <c r="B158" s="3">
        <v>45404</v>
      </c>
      <c r="C158" t="s">
        <v>4</v>
      </c>
      <c r="D158" t="s">
        <v>8</v>
      </c>
      <c r="E158">
        <v>8</v>
      </c>
      <c r="F158" s="5">
        <v>272253</v>
      </c>
      <c r="G158">
        <v>1054</v>
      </c>
      <c r="H158" t="s">
        <v>10</v>
      </c>
      <c r="I158" s="5">
        <f t="shared" si="7"/>
        <v>2178024</v>
      </c>
      <c r="J158">
        <f t="shared" si="8"/>
        <v>4</v>
      </c>
      <c r="K158">
        <f t="shared" si="6"/>
        <v>2024</v>
      </c>
    </row>
    <row r="159" spans="1:11" x14ac:dyDescent="0.25">
      <c r="A159">
        <v>207</v>
      </c>
      <c r="B159" s="3">
        <v>45293</v>
      </c>
      <c r="C159" t="s">
        <v>7</v>
      </c>
      <c r="D159" t="s">
        <v>9</v>
      </c>
      <c r="E159">
        <v>7</v>
      </c>
      <c r="F159" s="5">
        <v>236809</v>
      </c>
      <c r="G159">
        <v>1005</v>
      </c>
      <c r="H159" t="s">
        <v>10</v>
      </c>
      <c r="I159" s="5">
        <f t="shared" si="7"/>
        <v>1657663</v>
      </c>
      <c r="J159">
        <f t="shared" si="8"/>
        <v>1</v>
      </c>
      <c r="K159">
        <f t="shared" si="6"/>
        <v>2024</v>
      </c>
    </row>
    <row r="160" spans="1:11" x14ac:dyDescent="0.25">
      <c r="A160">
        <v>208</v>
      </c>
      <c r="B160" s="3">
        <v>45421</v>
      </c>
      <c r="C160" t="s">
        <v>2</v>
      </c>
      <c r="D160" t="s">
        <v>8</v>
      </c>
      <c r="E160">
        <v>5</v>
      </c>
      <c r="F160" s="5">
        <v>87503</v>
      </c>
      <c r="G160">
        <v>1034</v>
      </c>
      <c r="H160" t="s">
        <v>10</v>
      </c>
      <c r="I160" s="5">
        <f t="shared" si="7"/>
        <v>437515</v>
      </c>
      <c r="J160">
        <f t="shared" si="8"/>
        <v>5</v>
      </c>
      <c r="K160">
        <f t="shared" si="6"/>
        <v>2024</v>
      </c>
    </row>
    <row r="161" spans="1:11" x14ac:dyDescent="0.25">
      <c r="A161">
        <v>209</v>
      </c>
      <c r="B161" s="3">
        <v>45511</v>
      </c>
      <c r="C161" t="s">
        <v>4</v>
      </c>
      <c r="D161" t="s">
        <v>8</v>
      </c>
      <c r="E161">
        <v>3</v>
      </c>
      <c r="F161" s="5">
        <v>259346</v>
      </c>
      <c r="G161">
        <v>1021</v>
      </c>
      <c r="H161" t="s">
        <v>12</v>
      </c>
      <c r="I161" s="5">
        <f t="shared" si="7"/>
        <v>778038</v>
      </c>
      <c r="J161">
        <f t="shared" si="8"/>
        <v>8</v>
      </c>
      <c r="K161">
        <f t="shared" si="6"/>
        <v>2024</v>
      </c>
    </row>
    <row r="162" spans="1:11" x14ac:dyDescent="0.25">
      <c r="A162">
        <v>210</v>
      </c>
      <c r="B162" s="3">
        <v>45345</v>
      </c>
      <c r="C162" t="s">
        <v>4</v>
      </c>
      <c r="D162" t="s">
        <v>8</v>
      </c>
      <c r="E162">
        <v>3</v>
      </c>
      <c r="F162" s="5">
        <v>90708</v>
      </c>
      <c r="G162">
        <v>1042</v>
      </c>
      <c r="H162" t="s">
        <v>12</v>
      </c>
      <c r="I162" s="5">
        <f t="shared" si="7"/>
        <v>272124</v>
      </c>
      <c r="J162">
        <f t="shared" si="8"/>
        <v>2</v>
      </c>
      <c r="K162">
        <f t="shared" si="6"/>
        <v>2024</v>
      </c>
    </row>
    <row r="163" spans="1:11" x14ac:dyDescent="0.25">
      <c r="A163">
        <v>211</v>
      </c>
      <c r="B163" s="3">
        <v>45634</v>
      </c>
      <c r="C163" t="s">
        <v>0</v>
      </c>
      <c r="D163" t="s">
        <v>8</v>
      </c>
      <c r="E163">
        <v>5</v>
      </c>
      <c r="F163" s="5">
        <v>196184</v>
      </c>
      <c r="G163">
        <v>1014</v>
      </c>
      <c r="H163" t="s">
        <v>10</v>
      </c>
      <c r="I163" s="5">
        <f t="shared" si="7"/>
        <v>980920</v>
      </c>
      <c r="J163">
        <f t="shared" si="8"/>
        <v>12</v>
      </c>
      <c r="K163">
        <f t="shared" si="6"/>
        <v>2024</v>
      </c>
    </row>
    <row r="164" spans="1:11" x14ac:dyDescent="0.25">
      <c r="A164">
        <v>212</v>
      </c>
      <c r="B164" s="3">
        <v>45515</v>
      </c>
      <c r="C164" t="s">
        <v>6</v>
      </c>
      <c r="D164" t="s">
        <v>8</v>
      </c>
      <c r="E164">
        <v>12</v>
      </c>
      <c r="F164" s="5">
        <v>107471</v>
      </c>
      <c r="G164">
        <v>1085</v>
      </c>
      <c r="H164" t="s">
        <v>12</v>
      </c>
      <c r="I164" s="5">
        <f t="shared" si="7"/>
        <v>1289652</v>
      </c>
      <c r="J164">
        <f t="shared" si="8"/>
        <v>8</v>
      </c>
      <c r="K164">
        <f t="shared" si="6"/>
        <v>2024</v>
      </c>
    </row>
    <row r="165" spans="1:11" x14ac:dyDescent="0.25">
      <c r="A165">
        <v>213</v>
      </c>
      <c r="B165" s="3">
        <v>45516</v>
      </c>
      <c r="C165" t="s">
        <v>1</v>
      </c>
      <c r="D165" t="s">
        <v>8</v>
      </c>
      <c r="E165">
        <v>11</v>
      </c>
      <c r="F165" s="5">
        <v>259225</v>
      </c>
      <c r="G165">
        <v>1059</v>
      </c>
      <c r="H165" t="s">
        <v>11</v>
      </c>
      <c r="I165" s="5">
        <f t="shared" si="7"/>
        <v>2851475</v>
      </c>
      <c r="J165">
        <f t="shared" si="8"/>
        <v>8</v>
      </c>
      <c r="K165">
        <f t="shared" si="6"/>
        <v>2024</v>
      </c>
    </row>
    <row r="166" spans="1:11" x14ac:dyDescent="0.25">
      <c r="A166">
        <v>214</v>
      </c>
      <c r="B166" s="3">
        <v>45417</v>
      </c>
      <c r="C166" t="s">
        <v>3</v>
      </c>
      <c r="D166" t="s">
        <v>8</v>
      </c>
      <c r="E166">
        <v>8</v>
      </c>
      <c r="F166" s="5">
        <v>162661</v>
      </c>
      <c r="G166">
        <v>1011</v>
      </c>
      <c r="H166" t="s">
        <v>11</v>
      </c>
      <c r="I166" s="5">
        <f t="shared" si="7"/>
        <v>1301288</v>
      </c>
      <c r="J166">
        <f t="shared" si="8"/>
        <v>5</v>
      </c>
      <c r="K166">
        <f t="shared" si="6"/>
        <v>2024</v>
      </c>
    </row>
    <row r="167" spans="1:11" x14ac:dyDescent="0.25">
      <c r="A167">
        <v>215</v>
      </c>
      <c r="B167" s="3">
        <v>45421</v>
      </c>
      <c r="C167" t="s">
        <v>1</v>
      </c>
      <c r="D167" t="s">
        <v>8</v>
      </c>
      <c r="E167">
        <v>9</v>
      </c>
      <c r="F167" s="5">
        <v>166087</v>
      </c>
      <c r="G167">
        <v>1048</v>
      </c>
      <c r="H167" t="s">
        <v>10</v>
      </c>
      <c r="I167" s="5">
        <f t="shared" si="7"/>
        <v>1494783</v>
      </c>
      <c r="J167">
        <f t="shared" si="8"/>
        <v>5</v>
      </c>
      <c r="K167">
        <f t="shared" si="6"/>
        <v>2024</v>
      </c>
    </row>
    <row r="168" spans="1:11" x14ac:dyDescent="0.25">
      <c r="A168">
        <v>216</v>
      </c>
      <c r="B168" s="3">
        <v>45344</v>
      </c>
      <c r="C168" t="s">
        <v>3</v>
      </c>
      <c r="D168" t="s">
        <v>8</v>
      </c>
      <c r="E168">
        <v>10</v>
      </c>
      <c r="F168" s="5">
        <v>165081</v>
      </c>
      <c r="G168">
        <v>1041</v>
      </c>
      <c r="H168" t="s">
        <v>11</v>
      </c>
      <c r="I168" s="5">
        <f t="shared" si="7"/>
        <v>1650810</v>
      </c>
      <c r="J168">
        <f t="shared" si="8"/>
        <v>2</v>
      </c>
      <c r="K168">
        <f t="shared" si="6"/>
        <v>2024</v>
      </c>
    </row>
    <row r="169" spans="1:11" x14ac:dyDescent="0.25">
      <c r="A169">
        <v>217</v>
      </c>
      <c r="B169" s="3">
        <v>45463</v>
      </c>
      <c r="C169" t="s">
        <v>5</v>
      </c>
      <c r="D169" t="s">
        <v>8</v>
      </c>
      <c r="E169">
        <v>5</v>
      </c>
      <c r="F169" s="5">
        <v>198118</v>
      </c>
      <c r="G169">
        <v>1037</v>
      </c>
      <c r="H169" t="s">
        <v>10</v>
      </c>
      <c r="I169" s="5">
        <f t="shared" si="7"/>
        <v>990590</v>
      </c>
      <c r="J169">
        <f t="shared" si="8"/>
        <v>6</v>
      </c>
      <c r="K169">
        <f t="shared" si="6"/>
        <v>2024</v>
      </c>
    </row>
    <row r="170" spans="1:11" x14ac:dyDescent="0.25">
      <c r="A170">
        <v>219</v>
      </c>
      <c r="B170" s="3">
        <v>45451</v>
      </c>
      <c r="C170" t="s">
        <v>4</v>
      </c>
      <c r="D170" t="s">
        <v>8</v>
      </c>
      <c r="E170">
        <v>12</v>
      </c>
      <c r="F170" s="5">
        <v>11154</v>
      </c>
      <c r="G170">
        <v>1044</v>
      </c>
      <c r="H170" t="s">
        <v>11</v>
      </c>
      <c r="I170" s="5">
        <f t="shared" si="7"/>
        <v>133848</v>
      </c>
      <c r="J170">
        <f t="shared" si="8"/>
        <v>6</v>
      </c>
      <c r="K170">
        <f t="shared" si="6"/>
        <v>2024</v>
      </c>
    </row>
    <row r="171" spans="1:11" x14ac:dyDescent="0.25">
      <c r="A171">
        <v>220</v>
      </c>
      <c r="B171" s="3">
        <v>45489</v>
      </c>
      <c r="C171" t="s">
        <v>7</v>
      </c>
      <c r="D171" t="s">
        <v>9</v>
      </c>
      <c r="E171">
        <v>5</v>
      </c>
      <c r="F171" s="5">
        <v>157876</v>
      </c>
      <c r="G171">
        <v>1034</v>
      </c>
      <c r="H171" t="s">
        <v>12</v>
      </c>
      <c r="I171" s="5">
        <f t="shared" si="7"/>
        <v>789380</v>
      </c>
      <c r="J171">
        <f t="shared" si="8"/>
        <v>7</v>
      </c>
      <c r="K171">
        <f t="shared" si="6"/>
        <v>2024</v>
      </c>
    </row>
    <row r="172" spans="1:11" x14ac:dyDescent="0.25">
      <c r="A172">
        <v>221</v>
      </c>
      <c r="B172" s="3">
        <v>45538</v>
      </c>
      <c r="C172" t="s">
        <v>3</v>
      </c>
      <c r="D172" t="s">
        <v>8</v>
      </c>
      <c r="E172">
        <v>8</v>
      </c>
      <c r="F172" s="5">
        <v>69288</v>
      </c>
      <c r="G172">
        <v>1029</v>
      </c>
      <c r="H172" t="s">
        <v>11</v>
      </c>
      <c r="I172" s="5">
        <f t="shared" si="7"/>
        <v>554304</v>
      </c>
      <c r="J172">
        <f t="shared" si="8"/>
        <v>9</v>
      </c>
      <c r="K172">
        <f t="shared" si="6"/>
        <v>2024</v>
      </c>
    </row>
    <row r="173" spans="1:11" x14ac:dyDescent="0.25">
      <c r="A173">
        <v>222</v>
      </c>
      <c r="B173" s="3">
        <v>45615</v>
      </c>
      <c r="C173" t="s">
        <v>1</v>
      </c>
      <c r="D173" t="s">
        <v>8</v>
      </c>
      <c r="E173">
        <v>9</v>
      </c>
      <c r="F173" s="5">
        <v>56195</v>
      </c>
      <c r="G173">
        <v>1087</v>
      </c>
      <c r="H173" t="s">
        <v>11</v>
      </c>
      <c r="I173" s="5">
        <f t="shared" si="7"/>
        <v>505755</v>
      </c>
      <c r="J173">
        <f t="shared" si="8"/>
        <v>11</v>
      </c>
      <c r="K173">
        <f t="shared" si="6"/>
        <v>2024</v>
      </c>
    </row>
    <row r="174" spans="1:11" x14ac:dyDescent="0.25">
      <c r="A174">
        <v>223</v>
      </c>
      <c r="B174" s="3">
        <v>45494</v>
      </c>
      <c r="C174" t="s">
        <v>4</v>
      </c>
      <c r="D174" t="s">
        <v>8</v>
      </c>
      <c r="E174">
        <v>9</v>
      </c>
      <c r="F174" s="5">
        <v>287725</v>
      </c>
      <c r="G174">
        <v>1029</v>
      </c>
      <c r="H174" t="s">
        <v>10</v>
      </c>
      <c r="I174" s="5">
        <f t="shared" si="7"/>
        <v>2589525</v>
      </c>
      <c r="J174">
        <f t="shared" si="8"/>
        <v>7</v>
      </c>
      <c r="K174">
        <f t="shared" si="6"/>
        <v>2024</v>
      </c>
    </row>
    <row r="175" spans="1:11" x14ac:dyDescent="0.25">
      <c r="A175">
        <v>224</v>
      </c>
      <c r="B175" s="3">
        <v>45475</v>
      </c>
      <c r="C175" t="s">
        <v>3</v>
      </c>
      <c r="D175" t="s">
        <v>8</v>
      </c>
      <c r="E175">
        <v>1</v>
      </c>
      <c r="F175" s="5">
        <v>297231</v>
      </c>
      <c r="G175">
        <v>1077</v>
      </c>
      <c r="H175" t="s">
        <v>10</v>
      </c>
      <c r="I175" s="5">
        <f t="shared" si="7"/>
        <v>297231</v>
      </c>
      <c r="J175">
        <f t="shared" si="8"/>
        <v>7</v>
      </c>
      <c r="K175">
        <f t="shared" si="6"/>
        <v>2024</v>
      </c>
    </row>
    <row r="176" spans="1:11" x14ac:dyDescent="0.25">
      <c r="A176">
        <v>225</v>
      </c>
      <c r="B176" s="3">
        <v>45414</v>
      </c>
      <c r="C176" t="s">
        <v>3</v>
      </c>
      <c r="D176" t="s">
        <v>8</v>
      </c>
      <c r="E176">
        <v>13</v>
      </c>
      <c r="F176" s="5">
        <v>186002</v>
      </c>
      <c r="G176">
        <v>1005</v>
      </c>
      <c r="H176" t="s">
        <v>10</v>
      </c>
      <c r="I176" s="5">
        <f t="shared" si="7"/>
        <v>2418026</v>
      </c>
      <c r="J176">
        <f t="shared" si="8"/>
        <v>5</v>
      </c>
      <c r="K176">
        <f t="shared" si="6"/>
        <v>2024</v>
      </c>
    </row>
    <row r="177" spans="1:11" x14ac:dyDescent="0.25">
      <c r="A177">
        <v>226</v>
      </c>
      <c r="B177" s="3">
        <v>45546</v>
      </c>
      <c r="C177" t="s">
        <v>0</v>
      </c>
      <c r="D177" t="s">
        <v>8</v>
      </c>
      <c r="E177">
        <v>1</v>
      </c>
      <c r="F177" s="5">
        <v>169053</v>
      </c>
      <c r="G177">
        <v>1066</v>
      </c>
      <c r="H177" t="s">
        <v>10</v>
      </c>
      <c r="I177" s="5">
        <f t="shared" si="7"/>
        <v>169053</v>
      </c>
      <c r="J177">
        <f t="shared" si="8"/>
        <v>9</v>
      </c>
      <c r="K177">
        <f t="shared" si="6"/>
        <v>2024</v>
      </c>
    </row>
    <row r="178" spans="1:11" x14ac:dyDescent="0.25">
      <c r="A178">
        <v>227</v>
      </c>
      <c r="B178" s="3">
        <v>45585</v>
      </c>
      <c r="C178" t="s">
        <v>3</v>
      </c>
      <c r="D178" t="s">
        <v>8</v>
      </c>
      <c r="E178">
        <v>2</v>
      </c>
      <c r="F178" s="5">
        <v>74298</v>
      </c>
      <c r="G178">
        <v>1079</v>
      </c>
      <c r="H178" t="s">
        <v>12</v>
      </c>
      <c r="I178" s="5">
        <f t="shared" si="7"/>
        <v>148596</v>
      </c>
      <c r="J178">
        <f t="shared" si="8"/>
        <v>10</v>
      </c>
      <c r="K178">
        <f t="shared" si="6"/>
        <v>2024</v>
      </c>
    </row>
    <row r="179" spans="1:11" x14ac:dyDescent="0.25">
      <c r="A179">
        <v>228</v>
      </c>
      <c r="B179" s="3">
        <v>45571</v>
      </c>
      <c r="C179" t="s">
        <v>7</v>
      </c>
      <c r="D179" t="s">
        <v>9</v>
      </c>
      <c r="E179">
        <v>2</v>
      </c>
      <c r="F179" s="5">
        <v>211376</v>
      </c>
      <c r="G179">
        <v>1006</v>
      </c>
      <c r="H179" t="s">
        <v>12</v>
      </c>
      <c r="I179" s="5">
        <f t="shared" si="7"/>
        <v>422752</v>
      </c>
      <c r="J179">
        <f t="shared" si="8"/>
        <v>10</v>
      </c>
      <c r="K179">
        <f t="shared" si="6"/>
        <v>2024</v>
      </c>
    </row>
    <row r="180" spans="1:11" x14ac:dyDescent="0.25">
      <c r="A180">
        <v>229</v>
      </c>
      <c r="B180" s="3">
        <v>45616</v>
      </c>
      <c r="C180" t="s">
        <v>6</v>
      </c>
      <c r="D180" t="s">
        <v>8</v>
      </c>
      <c r="E180">
        <v>5</v>
      </c>
      <c r="F180" s="5">
        <v>44499</v>
      </c>
      <c r="G180">
        <v>1051</v>
      </c>
      <c r="H180" t="s">
        <v>12</v>
      </c>
      <c r="I180" s="5">
        <f t="shared" si="7"/>
        <v>222495</v>
      </c>
      <c r="J180">
        <f t="shared" si="8"/>
        <v>11</v>
      </c>
      <c r="K180">
        <f t="shared" si="6"/>
        <v>2024</v>
      </c>
    </row>
    <row r="181" spans="1:11" x14ac:dyDescent="0.25">
      <c r="A181">
        <v>230</v>
      </c>
      <c r="B181" s="3">
        <v>45389</v>
      </c>
      <c r="C181" t="s">
        <v>7</v>
      </c>
      <c r="D181" t="s">
        <v>9</v>
      </c>
      <c r="E181">
        <v>7</v>
      </c>
      <c r="F181" s="5">
        <v>174631</v>
      </c>
      <c r="G181">
        <v>1013</v>
      </c>
      <c r="H181" t="s">
        <v>10</v>
      </c>
      <c r="I181" s="5">
        <f t="shared" si="7"/>
        <v>1222417</v>
      </c>
      <c r="J181">
        <f t="shared" si="8"/>
        <v>4</v>
      </c>
      <c r="K181">
        <f t="shared" si="6"/>
        <v>2024</v>
      </c>
    </row>
    <row r="182" spans="1:11" x14ac:dyDescent="0.25">
      <c r="A182">
        <v>231</v>
      </c>
      <c r="B182" s="3">
        <v>45489</v>
      </c>
      <c r="C182" t="s">
        <v>2</v>
      </c>
      <c r="D182" t="s">
        <v>8</v>
      </c>
      <c r="E182">
        <v>14</v>
      </c>
      <c r="F182" s="5">
        <v>250198</v>
      </c>
      <c r="G182">
        <v>1072</v>
      </c>
      <c r="H182" t="s">
        <v>10</v>
      </c>
      <c r="I182" s="5">
        <f t="shared" si="7"/>
        <v>3502772</v>
      </c>
      <c r="J182">
        <f t="shared" si="8"/>
        <v>7</v>
      </c>
      <c r="K182">
        <f t="shared" si="6"/>
        <v>2024</v>
      </c>
    </row>
    <row r="183" spans="1:11" x14ac:dyDescent="0.25">
      <c r="A183">
        <v>232</v>
      </c>
      <c r="B183" s="3">
        <v>45531</v>
      </c>
      <c r="C183" t="s">
        <v>4</v>
      </c>
      <c r="D183" t="s">
        <v>8</v>
      </c>
      <c r="E183">
        <v>6</v>
      </c>
      <c r="F183" s="5">
        <v>247997</v>
      </c>
      <c r="G183">
        <v>1014</v>
      </c>
      <c r="H183" t="s">
        <v>10</v>
      </c>
      <c r="I183" s="5">
        <f t="shared" si="7"/>
        <v>1487982</v>
      </c>
      <c r="J183">
        <f t="shared" si="8"/>
        <v>8</v>
      </c>
      <c r="K183">
        <f t="shared" si="6"/>
        <v>2024</v>
      </c>
    </row>
    <row r="184" spans="1:11" x14ac:dyDescent="0.25">
      <c r="A184">
        <v>233</v>
      </c>
      <c r="B184" s="3">
        <v>45435</v>
      </c>
      <c r="C184" t="s">
        <v>6</v>
      </c>
      <c r="D184" t="s">
        <v>8</v>
      </c>
      <c r="E184">
        <v>11</v>
      </c>
      <c r="F184" s="5">
        <v>101347</v>
      </c>
      <c r="G184">
        <v>1020</v>
      </c>
      <c r="H184" t="s">
        <v>12</v>
      </c>
      <c r="I184" s="5">
        <f t="shared" si="7"/>
        <v>1114817</v>
      </c>
      <c r="J184">
        <f t="shared" si="8"/>
        <v>5</v>
      </c>
      <c r="K184">
        <f t="shared" si="6"/>
        <v>2024</v>
      </c>
    </row>
    <row r="185" spans="1:11" x14ac:dyDescent="0.25">
      <c r="A185">
        <v>234</v>
      </c>
      <c r="B185" s="3">
        <v>45388</v>
      </c>
      <c r="C185" t="s">
        <v>0</v>
      </c>
      <c r="D185" t="s">
        <v>8</v>
      </c>
      <c r="E185">
        <v>5</v>
      </c>
      <c r="F185" s="5">
        <v>210735</v>
      </c>
      <c r="G185">
        <v>1034</v>
      </c>
      <c r="H185" t="s">
        <v>10</v>
      </c>
      <c r="I185" s="5">
        <f t="shared" si="7"/>
        <v>1053675</v>
      </c>
      <c r="J185">
        <f t="shared" si="8"/>
        <v>4</v>
      </c>
      <c r="K185">
        <f t="shared" si="6"/>
        <v>2024</v>
      </c>
    </row>
    <row r="186" spans="1:11" x14ac:dyDescent="0.25">
      <c r="A186">
        <v>235</v>
      </c>
      <c r="B186" s="3">
        <v>45492</v>
      </c>
      <c r="C186" t="s">
        <v>6</v>
      </c>
      <c r="D186" t="s">
        <v>8</v>
      </c>
      <c r="E186">
        <v>6</v>
      </c>
      <c r="F186" s="5">
        <v>27431</v>
      </c>
      <c r="G186">
        <v>1065</v>
      </c>
      <c r="H186" t="s">
        <v>11</v>
      </c>
      <c r="I186" s="5">
        <f t="shared" si="7"/>
        <v>164586</v>
      </c>
      <c r="J186">
        <f t="shared" si="8"/>
        <v>7</v>
      </c>
      <c r="K186">
        <f t="shared" si="6"/>
        <v>2024</v>
      </c>
    </row>
    <row r="187" spans="1:11" x14ac:dyDescent="0.25">
      <c r="A187">
        <v>236</v>
      </c>
      <c r="B187" s="3">
        <v>45415</v>
      </c>
      <c r="C187" t="s">
        <v>6</v>
      </c>
      <c r="D187" t="s">
        <v>8</v>
      </c>
      <c r="E187">
        <v>8</v>
      </c>
      <c r="F187" s="5">
        <v>199555</v>
      </c>
      <c r="G187">
        <v>1090</v>
      </c>
      <c r="H187" t="s">
        <v>11</v>
      </c>
      <c r="I187" s="5">
        <f t="shared" si="7"/>
        <v>1596440</v>
      </c>
      <c r="J187">
        <f t="shared" si="8"/>
        <v>5</v>
      </c>
      <c r="K187">
        <f t="shared" si="6"/>
        <v>2024</v>
      </c>
    </row>
    <row r="188" spans="1:11" x14ac:dyDescent="0.25">
      <c r="A188">
        <v>238</v>
      </c>
      <c r="B188" s="3">
        <v>45617</v>
      </c>
      <c r="C188" t="s">
        <v>6</v>
      </c>
      <c r="D188" t="s">
        <v>8</v>
      </c>
      <c r="E188">
        <v>11</v>
      </c>
      <c r="F188" s="5">
        <v>54153</v>
      </c>
      <c r="G188">
        <v>1034</v>
      </c>
      <c r="H188" t="s">
        <v>11</v>
      </c>
      <c r="I188" s="5">
        <f t="shared" si="7"/>
        <v>595683</v>
      </c>
      <c r="J188">
        <f t="shared" si="8"/>
        <v>11</v>
      </c>
      <c r="K188">
        <f t="shared" si="6"/>
        <v>2024</v>
      </c>
    </row>
    <row r="189" spans="1:11" x14ac:dyDescent="0.25">
      <c r="A189">
        <v>239</v>
      </c>
      <c r="B189" s="3">
        <v>45640</v>
      </c>
      <c r="C189" t="s">
        <v>0</v>
      </c>
      <c r="D189" t="s">
        <v>8</v>
      </c>
      <c r="E189">
        <v>2</v>
      </c>
      <c r="F189" s="5">
        <v>273512</v>
      </c>
      <c r="G189">
        <v>1081</v>
      </c>
      <c r="H189" t="s">
        <v>11</v>
      </c>
      <c r="I189" s="5">
        <f t="shared" si="7"/>
        <v>547024</v>
      </c>
      <c r="J189">
        <f t="shared" si="8"/>
        <v>12</v>
      </c>
      <c r="K189">
        <f t="shared" si="6"/>
        <v>2024</v>
      </c>
    </row>
    <row r="190" spans="1:11" x14ac:dyDescent="0.25">
      <c r="A190">
        <v>240</v>
      </c>
      <c r="B190" s="3">
        <v>45550</v>
      </c>
      <c r="C190" t="s">
        <v>7</v>
      </c>
      <c r="D190" t="s">
        <v>9</v>
      </c>
      <c r="E190">
        <v>11</v>
      </c>
      <c r="F190" s="5">
        <v>181076</v>
      </c>
      <c r="G190">
        <v>1077</v>
      </c>
      <c r="H190" t="s">
        <v>12</v>
      </c>
      <c r="I190" s="5">
        <f t="shared" si="7"/>
        <v>1991836</v>
      </c>
      <c r="J190">
        <f t="shared" si="8"/>
        <v>9</v>
      </c>
      <c r="K190">
        <f t="shared" si="6"/>
        <v>2024</v>
      </c>
    </row>
    <row r="191" spans="1:11" x14ac:dyDescent="0.25">
      <c r="A191">
        <v>241</v>
      </c>
      <c r="B191" s="3">
        <v>45439</v>
      </c>
      <c r="C191" t="s">
        <v>6</v>
      </c>
      <c r="D191" t="s">
        <v>8</v>
      </c>
      <c r="E191">
        <v>1</v>
      </c>
      <c r="F191" s="5">
        <v>224724</v>
      </c>
      <c r="G191">
        <v>1019</v>
      </c>
      <c r="H191" t="s">
        <v>10</v>
      </c>
      <c r="I191" s="5">
        <f t="shared" si="7"/>
        <v>224724</v>
      </c>
      <c r="J191">
        <f t="shared" si="8"/>
        <v>5</v>
      </c>
      <c r="K191">
        <f t="shared" si="6"/>
        <v>2024</v>
      </c>
    </row>
    <row r="192" spans="1:11" x14ac:dyDescent="0.25">
      <c r="A192">
        <v>243</v>
      </c>
      <c r="B192" s="3">
        <v>45637</v>
      </c>
      <c r="C192" t="s">
        <v>4</v>
      </c>
      <c r="D192" t="s">
        <v>8</v>
      </c>
      <c r="E192">
        <v>5</v>
      </c>
      <c r="F192" s="5">
        <v>113737</v>
      </c>
      <c r="G192">
        <v>1009</v>
      </c>
      <c r="H192" t="s">
        <v>12</v>
      </c>
      <c r="I192" s="5">
        <f t="shared" si="7"/>
        <v>568685</v>
      </c>
      <c r="J192">
        <f t="shared" si="8"/>
        <v>12</v>
      </c>
      <c r="K192">
        <f t="shared" si="6"/>
        <v>2024</v>
      </c>
    </row>
    <row r="193" spans="1:11" x14ac:dyDescent="0.25">
      <c r="A193">
        <v>244</v>
      </c>
      <c r="B193" s="3">
        <v>45438</v>
      </c>
      <c r="C193" t="s">
        <v>6</v>
      </c>
      <c r="D193" t="s">
        <v>8</v>
      </c>
      <c r="E193">
        <v>12</v>
      </c>
      <c r="F193" s="5">
        <v>217133</v>
      </c>
      <c r="G193">
        <v>1024</v>
      </c>
      <c r="H193" t="s">
        <v>11</v>
      </c>
      <c r="I193" s="5">
        <f t="shared" si="7"/>
        <v>2605596</v>
      </c>
      <c r="J193">
        <f t="shared" si="8"/>
        <v>5</v>
      </c>
      <c r="K193">
        <f t="shared" si="6"/>
        <v>2024</v>
      </c>
    </row>
    <row r="194" spans="1:11" x14ac:dyDescent="0.25">
      <c r="A194">
        <v>245</v>
      </c>
      <c r="B194" s="3">
        <v>45439</v>
      </c>
      <c r="C194" t="s">
        <v>4</v>
      </c>
      <c r="D194" t="s">
        <v>8</v>
      </c>
      <c r="E194">
        <v>12</v>
      </c>
      <c r="F194" s="5">
        <v>159470</v>
      </c>
      <c r="G194">
        <v>1065</v>
      </c>
      <c r="H194" t="s">
        <v>11</v>
      </c>
      <c r="I194" s="5">
        <f t="shared" si="7"/>
        <v>1913640</v>
      </c>
      <c r="J194">
        <f t="shared" si="8"/>
        <v>5</v>
      </c>
      <c r="K194">
        <f t="shared" si="6"/>
        <v>2024</v>
      </c>
    </row>
    <row r="195" spans="1:11" x14ac:dyDescent="0.25">
      <c r="A195">
        <v>246</v>
      </c>
      <c r="B195" s="3">
        <v>45643</v>
      </c>
      <c r="C195" t="s">
        <v>5</v>
      </c>
      <c r="D195" t="s">
        <v>8</v>
      </c>
      <c r="E195">
        <v>6</v>
      </c>
      <c r="F195" s="5">
        <v>234465</v>
      </c>
      <c r="G195">
        <v>1024</v>
      </c>
      <c r="H195" t="s">
        <v>10</v>
      </c>
      <c r="I195" s="5">
        <f t="shared" si="7"/>
        <v>1406790</v>
      </c>
      <c r="J195">
        <f t="shared" si="8"/>
        <v>12</v>
      </c>
      <c r="K195">
        <f t="shared" ref="K195:K258" si="9">YEAR(B195)</f>
        <v>2024</v>
      </c>
    </row>
    <row r="196" spans="1:11" x14ac:dyDescent="0.25">
      <c r="A196">
        <v>247</v>
      </c>
      <c r="B196" s="3">
        <v>45490</v>
      </c>
      <c r="C196" t="s">
        <v>5</v>
      </c>
      <c r="D196" t="s">
        <v>8</v>
      </c>
      <c r="E196">
        <v>6</v>
      </c>
      <c r="F196" s="5">
        <v>55861</v>
      </c>
      <c r="G196">
        <v>1053</v>
      </c>
      <c r="H196" t="s">
        <v>11</v>
      </c>
      <c r="I196" s="5">
        <f t="shared" ref="I196:I259" si="10">E196*F196</f>
        <v>335166</v>
      </c>
      <c r="J196">
        <f t="shared" ref="J196:J259" si="11">MONTH(B196)</f>
        <v>7</v>
      </c>
      <c r="K196">
        <f t="shared" si="9"/>
        <v>2024</v>
      </c>
    </row>
    <row r="197" spans="1:11" x14ac:dyDescent="0.25">
      <c r="A197">
        <v>248</v>
      </c>
      <c r="B197" s="3">
        <v>45599</v>
      </c>
      <c r="C197" t="s">
        <v>4</v>
      </c>
      <c r="D197" t="s">
        <v>8</v>
      </c>
      <c r="E197">
        <v>7</v>
      </c>
      <c r="F197" s="5">
        <v>217977</v>
      </c>
      <c r="G197">
        <v>1032</v>
      </c>
      <c r="H197" t="s">
        <v>12</v>
      </c>
      <c r="I197" s="5">
        <f t="shared" si="10"/>
        <v>1525839</v>
      </c>
      <c r="J197">
        <f t="shared" si="11"/>
        <v>11</v>
      </c>
      <c r="K197">
        <f t="shared" si="9"/>
        <v>2024</v>
      </c>
    </row>
    <row r="198" spans="1:11" x14ac:dyDescent="0.25">
      <c r="A198">
        <v>249</v>
      </c>
      <c r="B198" s="3">
        <v>45419</v>
      </c>
      <c r="C198" t="s">
        <v>3</v>
      </c>
      <c r="D198" t="s">
        <v>8</v>
      </c>
      <c r="E198">
        <v>6</v>
      </c>
      <c r="F198" s="5">
        <v>132118</v>
      </c>
      <c r="G198">
        <v>1035</v>
      </c>
      <c r="H198" t="s">
        <v>12</v>
      </c>
      <c r="I198" s="5">
        <f t="shared" si="10"/>
        <v>792708</v>
      </c>
      <c r="J198">
        <f t="shared" si="11"/>
        <v>5</v>
      </c>
      <c r="K198">
        <f t="shared" si="9"/>
        <v>2024</v>
      </c>
    </row>
    <row r="199" spans="1:11" x14ac:dyDescent="0.25">
      <c r="A199">
        <v>251</v>
      </c>
      <c r="B199" s="3">
        <v>45629</v>
      </c>
      <c r="C199" t="s">
        <v>1</v>
      </c>
      <c r="D199" t="s">
        <v>8</v>
      </c>
      <c r="E199">
        <v>8</v>
      </c>
      <c r="F199" s="5">
        <v>14078</v>
      </c>
      <c r="G199">
        <v>1013</v>
      </c>
      <c r="H199" t="s">
        <v>12</v>
      </c>
      <c r="I199" s="5">
        <f t="shared" si="10"/>
        <v>112624</v>
      </c>
      <c r="J199">
        <f t="shared" si="11"/>
        <v>12</v>
      </c>
      <c r="K199">
        <f t="shared" si="9"/>
        <v>2024</v>
      </c>
    </row>
    <row r="200" spans="1:11" x14ac:dyDescent="0.25">
      <c r="A200">
        <v>252</v>
      </c>
      <c r="B200" s="3">
        <v>45651</v>
      </c>
      <c r="C200" t="s">
        <v>3</v>
      </c>
      <c r="D200" t="s">
        <v>8</v>
      </c>
      <c r="E200">
        <v>3</v>
      </c>
      <c r="F200" s="5">
        <v>56047</v>
      </c>
      <c r="G200">
        <v>1064</v>
      </c>
      <c r="H200" t="s">
        <v>12</v>
      </c>
      <c r="I200" s="5">
        <f t="shared" si="10"/>
        <v>168141</v>
      </c>
      <c r="J200">
        <f t="shared" si="11"/>
        <v>12</v>
      </c>
      <c r="K200">
        <f t="shared" si="9"/>
        <v>2024</v>
      </c>
    </row>
    <row r="201" spans="1:11" x14ac:dyDescent="0.25">
      <c r="A201">
        <v>254</v>
      </c>
      <c r="B201" s="3">
        <v>45558</v>
      </c>
      <c r="C201" t="s">
        <v>7</v>
      </c>
      <c r="D201" t="s">
        <v>9</v>
      </c>
      <c r="E201">
        <v>4</v>
      </c>
      <c r="F201" s="5">
        <v>220048</v>
      </c>
      <c r="G201">
        <v>1053</v>
      </c>
      <c r="H201" t="s">
        <v>12</v>
      </c>
      <c r="I201" s="5">
        <f t="shared" si="10"/>
        <v>880192</v>
      </c>
      <c r="J201">
        <f t="shared" si="11"/>
        <v>9</v>
      </c>
      <c r="K201">
        <f t="shared" si="9"/>
        <v>2024</v>
      </c>
    </row>
    <row r="202" spans="1:11" x14ac:dyDescent="0.25">
      <c r="A202">
        <v>256</v>
      </c>
      <c r="B202" s="3">
        <v>45589</v>
      </c>
      <c r="C202" t="s">
        <v>1</v>
      </c>
      <c r="D202" t="s">
        <v>8</v>
      </c>
      <c r="E202">
        <v>14</v>
      </c>
      <c r="F202" s="5">
        <v>122832</v>
      </c>
      <c r="G202">
        <v>1002</v>
      </c>
      <c r="H202" t="s">
        <v>12</v>
      </c>
      <c r="I202" s="5">
        <f t="shared" si="10"/>
        <v>1719648</v>
      </c>
      <c r="J202">
        <f t="shared" si="11"/>
        <v>10</v>
      </c>
      <c r="K202">
        <f t="shared" si="9"/>
        <v>2024</v>
      </c>
    </row>
    <row r="203" spans="1:11" x14ac:dyDescent="0.25">
      <c r="A203">
        <v>257</v>
      </c>
      <c r="B203" s="3">
        <v>45390</v>
      </c>
      <c r="C203" t="s">
        <v>3</v>
      </c>
      <c r="D203" t="s">
        <v>8</v>
      </c>
      <c r="E203">
        <v>8</v>
      </c>
      <c r="F203" s="5">
        <v>130150</v>
      </c>
      <c r="G203">
        <v>1098</v>
      </c>
      <c r="H203" t="s">
        <v>11</v>
      </c>
      <c r="I203" s="5">
        <f t="shared" si="10"/>
        <v>1041200</v>
      </c>
      <c r="J203">
        <f t="shared" si="11"/>
        <v>4</v>
      </c>
      <c r="K203">
        <f t="shared" si="9"/>
        <v>2024</v>
      </c>
    </row>
    <row r="204" spans="1:11" x14ac:dyDescent="0.25">
      <c r="A204">
        <v>258</v>
      </c>
      <c r="B204" s="3">
        <v>45554</v>
      </c>
      <c r="C204" t="s">
        <v>6</v>
      </c>
      <c r="D204" t="s">
        <v>8</v>
      </c>
      <c r="E204">
        <v>9</v>
      </c>
      <c r="F204" s="5">
        <v>162087</v>
      </c>
      <c r="G204">
        <v>1040</v>
      </c>
      <c r="H204" t="s">
        <v>10</v>
      </c>
      <c r="I204" s="5">
        <f t="shared" si="10"/>
        <v>1458783</v>
      </c>
      <c r="J204">
        <f t="shared" si="11"/>
        <v>9</v>
      </c>
      <c r="K204">
        <f t="shared" si="9"/>
        <v>2024</v>
      </c>
    </row>
    <row r="205" spans="1:11" x14ac:dyDescent="0.25">
      <c r="A205">
        <v>259</v>
      </c>
      <c r="B205" s="3">
        <v>45543</v>
      </c>
      <c r="C205" t="s">
        <v>7</v>
      </c>
      <c r="D205" t="s">
        <v>9</v>
      </c>
      <c r="E205">
        <v>4</v>
      </c>
      <c r="F205" s="5">
        <v>38320</v>
      </c>
      <c r="G205">
        <v>1005</v>
      </c>
      <c r="H205" t="s">
        <v>10</v>
      </c>
      <c r="I205" s="5">
        <f t="shared" si="10"/>
        <v>153280</v>
      </c>
      <c r="J205">
        <f t="shared" si="11"/>
        <v>9</v>
      </c>
      <c r="K205">
        <f t="shared" si="9"/>
        <v>2024</v>
      </c>
    </row>
    <row r="206" spans="1:11" x14ac:dyDescent="0.25">
      <c r="A206">
        <v>260</v>
      </c>
      <c r="B206" s="3">
        <v>45435</v>
      </c>
      <c r="C206" t="s">
        <v>7</v>
      </c>
      <c r="D206" t="s">
        <v>9</v>
      </c>
      <c r="E206">
        <v>3</v>
      </c>
      <c r="F206" s="5">
        <v>95827</v>
      </c>
      <c r="G206">
        <v>1024</v>
      </c>
      <c r="H206" t="s">
        <v>10</v>
      </c>
      <c r="I206" s="5">
        <f t="shared" si="10"/>
        <v>287481</v>
      </c>
      <c r="J206">
        <f t="shared" si="11"/>
        <v>5</v>
      </c>
      <c r="K206">
        <f t="shared" si="9"/>
        <v>2024</v>
      </c>
    </row>
    <row r="207" spans="1:11" x14ac:dyDescent="0.25">
      <c r="A207">
        <v>262</v>
      </c>
      <c r="B207" s="3">
        <v>45403</v>
      </c>
      <c r="C207" t="s">
        <v>0</v>
      </c>
      <c r="D207" t="s">
        <v>8</v>
      </c>
      <c r="E207">
        <v>14</v>
      </c>
      <c r="F207" s="5">
        <v>29826</v>
      </c>
      <c r="G207">
        <v>1097</v>
      </c>
      <c r="H207" t="s">
        <v>11</v>
      </c>
      <c r="I207" s="5">
        <f t="shared" si="10"/>
        <v>417564</v>
      </c>
      <c r="J207">
        <f t="shared" si="11"/>
        <v>4</v>
      </c>
      <c r="K207">
        <f t="shared" si="9"/>
        <v>2024</v>
      </c>
    </row>
    <row r="208" spans="1:11" x14ac:dyDescent="0.25">
      <c r="A208">
        <v>263</v>
      </c>
      <c r="B208" s="3">
        <v>45351</v>
      </c>
      <c r="C208" t="s">
        <v>1</v>
      </c>
      <c r="D208" t="s">
        <v>8</v>
      </c>
      <c r="E208">
        <v>8</v>
      </c>
      <c r="F208" s="5">
        <v>105734</v>
      </c>
      <c r="G208">
        <v>1007</v>
      </c>
      <c r="H208" t="s">
        <v>10</v>
      </c>
      <c r="I208" s="5">
        <f t="shared" si="10"/>
        <v>845872</v>
      </c>
      <c r="J208">
        <f t="shared" si="11"/>
        <v>2</v>
      </c>
      <c r="K208">
        <f t="shared" si="9"/>
        <v>2024</v>
      </c>
    </row>
    <row r="209" spans="1:11" x14ac:dyDescent="0.25">
      <c r="A209">
        <v>264</v>
      </c>
      <c r="B209" s="3">
        <v>45293</v>
      </c>
      <c r="C209" t="s">
        <v>3</v>
      </c>
      <c r="D209" t="s">
        <v>8</v>
      </c>
      <c r="E209">
        <v>14</v>
      </c>
      <c r="F209" s="5">
        <v>162702</v>
      </c>
      <c r="G209">
        <v>1020</v>
      </c>
      <c r="H209" t="s">
        <v>11</v>
      </c>
      <c r="I209" s="5">
        <f t="shared" si="10"/>
        <v>2277828</v>
      </c>
      <c r="J209">
        <f t="shared" si="11"/>
        <v>1</v>
      </c>
      <c r="K209">
        <f t="shared" si="9"/>
        <v>2024</v>
      </c>
    </row>
    <row r="210" spans="1:11" x14ac:dyDescent="0.25">
      <c r="A210">
        <v>265</v>
      </c>
      <c r="B210" s="3">
        <v>45595</v>
      </c>
      <c r="C210" t="s">
        <v>5</v>
      </c>
      <c r="D210" t="s">
        <v>8</v>
      </c>
      <c r="E210">
        <v>4</v>
      </c>
      <c r="F210" s="5">
        <v>234834</v>
      </c>
      <c r="G210">
        <v>1097</v>
      </c>
      <c r="H210" t="s">
        <v>10</v>
      </c>
      <c r="I210" s="5">
        <f t="shared" si="10"/>
        <v>939336</v>
      </c>
      <c r="J210">
        <f t="shared" si="11"/>
        <v>10</v>
      </c>
      <c r="K210">
        <f t="shared" si="9"/>
        <v>2024</v>
      </c>
    </row>
    <row r="211" spans="1:11" x14ac:dyDescent="0.25">
      <c r="A211">
        <v>266</v>
      </c>
      <c r="B211" s="3">
        <v>45545</v>
      </c>
      <c r="C211" t="s">
        <v>4</v>
      </c>
      <c r="D211" t="s">
        <v>8</v>
      </c>
      <c r="E211">
        <v>14</v>
      </c>
      <c r="F211" s="5">
        <v>182235</v>
      </c>
      <c r="G211">
        <v>1067</v>
      </c>
      <c r="H211" t="s">
        <v>11</v>
      </c>
      <c r="I211" s="5">
        <f t="shared" si="10"/>
        <v>2551290</v>
      </c>
      <c r="J211">
        <f t="shared" si="11"/>
        <v>9</v>
      </c>
      <c r="K211">
        <f t="shared" si="9"/>
        <v>2024</v>
      </c>
    </row>
    <row r="212" spans="1:11" x14ac:dyDescent="0.25">
      <c r="A212">
        <v>267</v>
      </c>
      <c r="B212" s="3">
        <v>45431</v>
      </c>
      <c r="C212" t="s">
        <v>2</v>
      </c>
      <c r="D212" t="s">
        <v>8</v>
      </c>
      <c r="E212">
        <v>6</v>
      </c>
      <c r="F212" s="5">
        <v>103511</v>
      </c>
      <c r="G212">
        <v>1024</v>
      </c>
      <c r="H212" t="s">
        <v>12</v>
      </c>
      <c r="I212" s="5">
        <f t="shared" si="10"/>
        <v>621066</v>
      </c>
      <c r="J212">
        <f t="shared" si="11"/>
        <v>5</v>
      </c>
      <c r="K212">
        <f t="shared" si="9"/>
        <v>2024</v>
      </c>
    </row>
    <row r="213" spans="1:11" x14ac:dyDescent="0.25">
      <c r="A213">
        <v>268</v>
      </c>
      <c r="B213" s="3">
        <v>45328</v>
      </c>
      <c r="C213" t="s">
        <v>0</v>
      </c>
      <c r="D213" t="s">
        <v>8</v>
      </c>
      <c r="E213">
        <v>14</v>
      </c>
      <c r="F213" s="5">
        <v>278797</v>
      </c>
      <c r="G213">
        <v>1078</v>
      </c>
      <c r="H213" t="s">
        <v>12</v>
      </c>
      <c r="I213" s="5">
        <f t="shared" si="10"/>
        <v>3903158</v>
      </c>
      <c r="J213">
        <f t="shared" si="11"/>
        <v>2</v>
      </c>
      <c r="K213">
        <f t="shared" si="9"/>
        <v>2024</v>
      </c>
    </row>
    <row r="214" spans="1:11" x14ac:dyDescent="0.25">
      <c r="A214">
        <v>269</v>
      </c>
      <c r="B214" s="3">
        <v>45451</v>
      </c>
      <c r="C214" t="s">
        <v>0</v>
      </c>
      <c r="D214" t="s">
        <v>8</v>
      </c>
      <c r="E214">
        <v>5</v>
      </c>
      <c r="F214" s="5">
        <v>164033</v>
      </c>
      <c r="G214">
        <v>1067</v>
      </c>
      <c r="H214" t="s">
        <v>10</v>
      </c>
      <c r="I214" s="5">
        <f t="shared" si="10"/>
        <v>820165</v>
      </c>
      <c r="J214">
        <f t="shared" si="11"/>
        <v>6</v>
      </c>
      <c r="K214">
        <f t="shared" si="9"/>
        <v>2024</v>
      </c>
    </row>
    <row r="215" spans="1:11" x14ac:dyDescent="0.25">
      <c r="A215">
        <v>270</v>
      </c>
      <c r="B215" s="3">
        <v>45300</v>
      </c>
      <c r="C215" t="s">
        <v>0</v>
      </c>
      <c r="D215" t="s">
        <v>8</v>
      </c>
      <c r="E215">
        <v>14</v>
      </c>
      <c r="F215" s="5">
        <v>86941</v>
      </c>
      <c r="G215">
        <v>1044</v>
      </c>
      <c r="H215" t="s">
        <v>11</v>
      </c>
      <c r="I215" s="5">
        <f t="shared" si="10"/>
        <v>1217174</v>
      </c>
      <c r="J215">
        <f t="shared" si="11"/>
        <v>1</v>
      </c>
      <c r="K215">
        <f t="shared" si="9"/>
        <v>2024</v>
      </c>
    </row>
    <row r="216" spans="1:11" x14ac:dyDescent="0.25">
      <c r="A216">
        <v>271</v>
      </c>
      <c r="B216" s="3">
        <v>45524</v>
      </c>
      <c r="C216" t="s">
        <v>7</v>
      </c>
      <c r="D216" t="s">
        <v>9</v>
      </c>
      <c r="E216">
        <v>4</v>
      </c>
      <c r="F216" s="5">
        <v>210209</v>
      </c>
      <c r="G216">
        <v>1059</v>
      </c>
      <c r="H216" t="s">
        <v>11</v>
      </c>
      <c r="I216" s="5">
        <f t="shared" si="10"/>
        <v>840836</v>
      </c>
      <c r="J216">
        <f t="shared" si="11"/>
        <v>8</v>
      </c>
      <c r="K216">
        <f t="shared" si="9"/>
        <v>2024</v>
      </c>
    </row>
    <row r="217" spans="1:11" x14ac:dyDescent="0.25">
      <c r="A217">
        <v>273</v>
      </c>
      <c r="B217" s="3">
        <v>45438</v>
      </c>
      <c r="C217" t="s">
        <v>0</v>
      </c>
      <c r="D217" t="s">
        <v>8</v>
      </c>
      <c r="E217">
        <v>10</v>
      </c>
      <c r="F217" s="5">
        <v>157360</v>
      </c>
      <c r="G217">
        <v>1031</v>
      </c>
      <c r="H217" t="s">
        <v>12</v>
      </c>
      <c r="I217" s="5">
        <f t="shared" si="10"/>
        <v>1573600</v>
      </c>
      <c r="J217">
        <f t="shared" si="11"/>
        <v>5</v>
      </c>
      <c r="K217">
        <f t="shared" si="9"/>
        <v>2024</v>
      </c>
    </row>
    <row r="218" spans="1:11" x14ac:dyDescent="0.25">
      <c r="A218">
        <v>274</v>
      </c>
      <c r="B218" s="3">
        <v>45595</v>
      </c>
      <c r="C218" t="s">
        <v>4</v>
      </c>
      <c r="D218" t="s">
        <v>8</v>
      </c>
      <c r="E218">
        <v>14</v>
      </c>
      <c r="F218" s="5">
        <v>258627</v>
      </c>
      <c r="G218">
        <v>1095</v>
      </c>
      <c r="H218" t="s">
        <v>11</v>
      </c>
      <c r="I218" s="5">
        <f t="shared" si="10"/>
        <v>3620778</v>
      </c>
      <c r="J218">
        <f t="shared" si="11"/>
        <v>10</v>
      </c>
      <c r="K218">
        <f t="shared" si="9"/>
        <v>2024</v>
      </c>
    </row>
    <row r="219" spans="1:11" x14ac:dyDescent="0.25">
      <c r="A219">
        <v>275</v>
      </c>
      <c r="B219" s="3">
        <v>45499</v>
      </c>
      <c r="C219" t="s">
        <v>6</v>
      </c>
      <c r="D219" t="s">
        <v>8</v>
      </c>
      <c r="E219">
        <v>10</v>
      </c>
      <c r="F219" s="5">
        <v>100081</v>
      </c>
      <c r="G219">
        <v>1091</v>
      </c>
      <c r="H219" t="s">
        <v>11</v>
      </c>
      <c r="I219" s="5">
        <f t="shared" si="10"/>
        <v>1000810</v>
      </c>
      <c r="J219">
        <f t="shared" si="11"/>
        <v>7</v>
      </c>
      <c r="K219">
        <f t="shared" si="9"/>
        <v>2024</v>
      </c>
    </row>
    <row r="220" spans="1:11" x14ac:dyDescent="0.25">
      <c r="A220">
        <v>276</v>
      </c>
      <c r="B220" s="3">
        <v>45422</v>
      </c>
      <c r="C220" t="s">
        <v>0</v>
      </c>
      <c r="D220" t="s">
        <v>8</v>
      </c>
      <c r="E220">
        <v>13</v>
      </c>
      <c r="F220" s="5">
        <v>41877</v>
      </c>
      <c r="G220">
        <v>1012</v>
      </c>
      <c r="H220" t="s">
        <v>11</v>
      </c>
      <c r="I220" s="5">
        <f t="shared" si="10"/>
        <v>544401</v>
      </c>
      <c r="J220">
        <f t="shared" si="11"/>
        <v>5</v>
      </c>
      <c r="K220">
        <f t="shared" si="9"/>
        <v>2024</v>
      </c>
    </row>
    <row r="221" spans="1:11" x14ac:dyDescent="0.25">
      <c r="A221">
        <v>277</v>
      </c>
      <c r="B221" s="3">
        <v>45443</v>
      </c>
      <c r="C221" t="s">
        <v>2</v>
      </c>
      <c r="D221" t="s">
        <v>8</v>
      </c>
      <c r="E221">
        <v>5</v>
      </c>
      <c r="F221" s="5">
        <v>216957</v>
      </c>
      <c r="G221">
        <v>1030</v>
      </c>
      <c r="H221" t="s">
        <v>11</v>
      </c>
      <c r="I221" s="5">
        <f t="shared" si="10"/>
        <v>1084785</v>
      </c>
      <c r="J221">
        <f t="shared" si="11"/>
        <v>5</v>
      </c>
      <c r="K221">
        <f t="shared" si="9"/>
        <v>2024</v>
      </c>
    </row>
    <row r="222" spans="1:11" x14ac:dyDescent="0.25">
      <c r="A222">
        <v>279</v>
      </c>
      <c r="B222" s="3">
        <v>45411</v>
      </c>
      <c r="C222" t="s">
        <v>4</v>
      </c>
      <c r="D222" t="s">
        <v>8</v>
      </c>
      <c r="E222">
        <v>11</v>
      </c>
      <c r="F222" s="5">
        <v>146398</v>
      </c>
      <c r="G222">
        <v>1019</v>
      </c>
      <c r="H222" t="s">
        <v>11</v>
      </c>
      <c r="I222" s="5">
        <f t="shared" si="10"/>
        <v>1610378</v>
      </c>
      <c r="J222">
        <f t="shared" si="11"/>
        <v>4</v>
      </c>
      <c r="K222">
        <f t="shared" si="9"/>
        <v>2024</v>
      </c>
    </row>
    <row r="223" spans="1:11" x14ac:dyDescent="0.25">
      <c r="A223">
        <v>280</v>
      </c>
      <c r="B223" s="3">
        <v>45452</v>
      </c>
      <c r="C223" t="s">
        <v>2</v>
      </c>
      <c r="D223" t="s">
        <v>8</v>
      </c>
      <c r="E223">
        <v>12</v>
      </c>
      <c r="F223" s="5">
        <v>115091</v>
      </c>
      <c r="G223">
        <v>1017</v>
      </c>
      <c r="H223" t="s">
        <v>10</v>
      </c>
      <c r="I223" s="5">
        <f t="shared" si="10"/>
        <v>1381092</v>
      </c>
      <c r="J223">
        <f t="shared" si="11"/>
        <v>6</v>
      </c>
      <c r="K223">
        <f t="shared" si="9"/>
        <v>2024</v>
      </c>
    </row>
    <row r="224" spans="1:11" x14ac:dyDescent="0.25">
      <c r="A224">
        <v>282</v>
      </c>
      <c r="B224" s="3">
        <v>45366</v>
      </c>
      <c r="C224" t="s">
        <v>2</v>
      </c>
      <c r="D224" t="s">
        <v>8</v>
      </c>
      <c r="E224">
        <v>14</v>
      </c>
      <c r="F224" s="5">
        <v>88186</v>
      </c>
      <c r="G224">
        <v>1059</v>
      </c>
      <c r="H224" t="s">
        <v>12</v>
      </c>
      <c r="I224" s="5">
        <f t="shared" si="10"/>
        <v>1234604</v>
      </c>
      <c r="J224">
        <f t="shared" si="11"/>
        <v>3</v>
      </c>
      <c r="K224">
        <f t="shared" si="9"/>
        <v>2024</v>
      </c>
    </row>
    <row r="225" spans="1:11" x14ac:dyDescent="0.25">
      <c r="A225">
        <v>283</v>
      </c>
      <c r="B225" s="3">
        <v>45404</v>
      </c>
      <c r="C225" t="s">
        <v>4</v>
      </c>
      <c r="D225" t="s">
        <v>8</v>
      </c>
      <c r="E225">
        <v>3</v>
      </c>
      <c r="F225" s="5">
        <v>167962</v>
      </c>
      <c r="G225">
        <v>1062</v>
      </c>
      <c r="H225" t="s">
        <v>10</v>
      </c>
      <c r="I225" s="5">
        <f t="shared" si="10"/>
        <v>503886</v>
      </c>
      <c r="J225">
        <f t="shared" si="11"/>
        <v>4</v>
      </c>
      <c r="K225">
        <f t="shared" si="9"/>
        <v>2024</v>
      </c>
    </row>
    <row r="226" spans="1:11" x14ac:dyDescent="0.25">
      <c r="A226">
        <v>284</v>
      </c>
      <c r="B226" s="3">
        <v>45395</v>
      </c>
      <c r="C226" t="s">
        <v>2</v>
      </c>
      <c r="D226" t="s">
        <v>8</v>
      </c>
      <c r="E226">
        <v>1</v>
      </c>
      <c r="F226" s="5">
        <v>156094</v>
      </c>
      <c r="G226">
        <v>1005</v>
      </c>
      <c r="H226" t="s">
        <v>11</v>
      </c>
      <c r="I226" s="5">
        <f t="shared" si="10"/>
        <v>156094</v>
      </c>
      <c r="J226">
        <f t="shared" si="11"/>
        <v>4</v>
      </c>
      <c r="K226">
        <f t="shared" si="9"/>
        <v>2024</v>
      </c>
    </row>
    <row r="227" spans="1:11" x14ac:dyDescent="0.25">
      <c r="A227">
        <v>286</v>
      </c>
      <c r="B227" s="3">
        <v>45545</v>
      </c>
      <c r="C227" t="s">
        <v>4</v>
      </c>
      <c r="D227" t="s">
        <v>8</v>
      </c>
      <c r="E227">
        <v>5</v>
      </c>
      <c r="F227" s="5">
        <v>33380</v>
      </c>
      <c r="G227">
        <v>1092</v>
      </c>
      <c r="H227" t="s">
        <v>10</v>
      </c>
      <c r="I227" s="5">
        <f t="shared" si="10"/>
        <v>166900</v>
      </c>
      <c r="J227">
        <f t="shared" si="11"/>
        <v>9</v>
      </c>
      <c r="K227">
        <f t="shared" si="9"/>
        <v>2024</v>
      </c>
    </row>
    <row r="228" spans="1:11" x14ac:dyDescent="0.25">
      <c r="A228">
        <v>287</v>
      </c>
      <c r="B228" s="3">
        <v>45518</v>
      </c>
      <c r="C228" t="s">
        <v>6</v>
      </c>
      <c r="D228" t="s">
        <v>8</v>
      </c>
      <c r="E228">
        <v>4</v>
      </c>
      <c r="F228" s="5">
        <v>115198</v>
      </c>
      <c r="G228">
        <v>1042</v>
      </c>
      <c r="H228" t="s">
        <v>12</v>
      </c>
      <c r="I228" s="5">
        <f t="shared" si="10"/>
        <v>460792</v>
      </c>
      <c r="J228">
        <f t="shared" si="11"/>
        <v>8</v>
      </c>
      <c r="K228">
        <f t="shared" si="9"/>
        <v>2024</v>
      </c>
    </row>
    <row r="229" spans="1:11" x14ac:dyDescent="0.25">
      <c r="A229">
        <v>289</v>
      </c>
      <c r="B229" s="3">
        <v>45390</v>
      </c>
      <c r="C229" t="s">
        <v>4</v>
      </c>
      <c r="D229" t="s">
        <v>8</v>
      </c>
      <c r="E229">
        <v>7</v>
      </c>
      <c r="F229" s="5">
        <v>75326</v>
      </c>
      <c r="G229">
        <v>1059</v>
      </c>
      <c r="H229" t="s">
        <v>11</v>
      </c>
      <c r="I229" s="5">
        <f t="shared" si="10"/>
        <v>527282</v>
      </c>
      <c r="J229">
        <f t="shared" si="11"/>
        <v>4</v>
      </c>
      <c r="K229">
        <f t="shared" si="9"/>
        <v>2024</v>
      </c>
    </row>
    <row r="230" spans="1:11" x14ac:dyDescent="0.25">
      <c r="A230">
        <v>290</v>
      </c>
      <c r="B230" s="3">
        <v>45444</v>
      </c>
      <c r="C230" t="s">
        <v>0</v>
      </c>
      <c r="D230" t="s">
        <v>8</v>
      </c>
      <c r="E230">
        <v>7</v>
      </c>
      <c r="F230" s="5">
        <v>119994</v>
      </c>
      <c r="G230">
        <v>1022</v>
      </c>
      <c r="H230" t="s">
        <v>11</v>
      </c>
      <c r="I230" s="5">
        <f t="shared" si="10"/>
        <v>839958</v>
      </c>
      <c r="J230">
        <f t="shared" si="11"/>
        <v>6</v>
      </c>
      <c r="K230">
        <f t="shared" si="9"/>
        <v>2024</v>
      </c>
    </row>
    <row r="231" spans="1:11" x14ac:dyDescent="0.25">
      <c r="A231">
        <v>291</v>
      </c>
      <c r="B231" s="3">
        <v>45640</v>
      </c>
      <c r="C231" t="s">
        <v>5</v>
      </c>
      <c r="D231" t="s">
        <v>8</v>
      </c>
      <c r="E231">
        <v>11</v>
      </c>
      <c r="F231" s="5">
        <v>225971</v>
      </c>
      <c r="G231">
        <v>1082</v>
      </c>
      <c r="H231" t="s">
        <v>11</v>
      </c>
      <c r="I231" s="5">
        <f t="shared" si="10"/>
        <v>2485681</v>
      </c>
      <c r="J231">
        <f t="shared" si="11"/>
        <v>12</v>
      </c>
      <c r="K231">
        <f t="shared" si="9"/>
        <v>2024</v>
      </c>
    </row>
    <row r="232" spans="1:11" x14ac:dyDescent="0.25">
      <c r="A232">
        <v>294</v>
      </c>
      <c r="B232" s="3">
        <v>45485</v>
      </c>
      <c r="C232" t="s">
        <v>3</v>
      </c>
      <c r="D232" t="s">
        <v>8</v>
      </c>
      <c r="E232">
        <v>4</v>
      </c>
      <c r="F232" s="5">
        <v>267805</v>
      </c>
      <c r="G232">
        <v>1082</v>
      </c>
      <c r="H232" t="s">
        <v>12</v>
      </c>
      <c r="I232" s="5">
        <f t="shared" si="10"/>
        <v>1071220</v>
      </c>
      <c r="J232">
        <f t="shared" si="11"/>
        <v>7</v>
      </c>
      <c r="K232">
        <f t="shared" si="9"/>
        <v>2024</v>
      </c>
    </row>
    <row r="233" spans="1:11" x14ac:dyDescent="0.25">
      <c r="A233">
        <v>295</v>
      </c>
      <c r="B233" s="3">
        <v>45601</v>
      </c>
      <c r="C233" t="s">
        <v>3</v>
      </c>
      <c r="D233" t="s">
        <v>8</v>
      </c>
      <c r="E233">
        <v>5</v>
      </c>
      <c r="F233" s="5">
        <v>173484</v>
      </c>
      <c r="G233">
        <v>1033</v>
      </c>
      <c r="H233" t="s">
        <v>11</v>
      </c>
      <c r="I233" s="5">
        <f t="shared" si="10"/>
        <v>867420</v>
      </c>
      <c r="J233">
        <f t="shared" si="11"/>
        <v>11</v>
      </c>
      <c r="K233">
        <f t="shared" si="9"/>
        <v>2024</v>
      </c>
    </row>
    <row r="234" spans="1:11" x14ac:dyDescent="0.25">
      <c r="A234">
        <v>298</v>
      </c>
      <c r="B234" s="3">
        <v>45460</v>
      </c>
      <c r="C234" t="s">
        <v>4</v>
      </c>
      <c r="D234" t="s">
        <v>8</v>
      </c>
      <c r="E234">
        <v>5</v>
      </c>
      <c r="F234" s="5">
        <v>276090</v>
      </c>
      <c r="G234">
        <v>1001</v>
      </c>
      <c r="H234" t="s">
        <v>11</v>
      </c>
      <c r="I234" s="5">
        <f t="shared" si="10"/>
        <v>1380450</v>
      </c>
      <c r="J234">
        <f t="shared" si="11"/>
        <v>6</v>
      </c>
      <c r="K234">
        <f t="shared" si="9"/>
        <v>2024</v>
      </c>
    </row>
    <row r="235" spans="1:11" x14ac:dyDescent="0.25">
      <c r="A235">
        <v>299</v>
      </c>
      <c r="B235" s="3">
        <v>45452</v>
      </c>
      <c r="C235" t="s">
        <v>6</v>
      </c>
      <c r="D235" t="s">
        <v>8</v>
      </c>
      <c r="E235">
        <v>12</v>
      </c>
      <c r="F235" s="5">
        <v>230314</v>
      </c>
      <c r="G235">
        <v>1010</v>
      </c>
      <c r="H235" t="s">
        <v>11</v>
      </c>
      <c r="I235" s="5">
        <f t="shared" si="10"/>
        <v>2763768</v>
      </c>
      <c r="J235">
        <f t="shared" si="11"/>
        <v>6</v>
      </c>
      <c r="K235">
        <f t="shared" si="9"/>
        <v>2024</v>
      </c>
    </row>
    <row r="236" spans="1:11" x14ac:dyDescent="0.25">
      <c r="A236">
        <v>300</v>
      </c>
      <c r="B236" s="3">
        <v>45359</v>
      </c>
      <c r="C236" t="s">
        <v>4</v>
      </c>
      <c r="D236" t="s">
        <v>8</v>
      </c>
      <c r="E236">
        <v>2</v>
      </c>
      <c r="F236" s="5">
        <v>240612</v>
      </c>
      <c r="G236">
        <v>1049</v>
      </c>
      <c r="H236" t="s">
        <v>10</v>
      </c>
      <c r="I236" s="5">
        <f t="shared" si="10"/>
        <v>481224</v>
      </c>
      <c r="J236">
        <f t="shared" si="11"/>
        <v>3</v>
      </c>
      <c r="K236">
        <f t="shared" si="9"/>
        <v>2024</v>
      </c>
    </row>
    <row r="237" spans="1:11" x14ac:dyDescent="0.25">
      <c r="A237">
        <v>303</v>
      </c>
      <c r="B237" s="3">
        <v>45595</v>
      </c>
      <c r="C237" t="s">
        <v>6</v>
      </c>
      <c r="D237" t="s">
        <v>8</v>
      </c>
      <c r="E237">
        <v>12</v>
      </c>
      <c r="F237" s="5">
        <v>64321</v>
      </c>
      <c r="G237">
        <v>1078</v>
      </c>
      <c r="H237" t="s">
        <v>10</v>
      </c>
      <c r="I237" s="5">
        <f t="shared" si="10"/>
        <v>771852</v>
      </c>
      <c r="J237">
        <f t="shared" si="11"/>
        <v>10</v>
      </c>
      <c r="K237">
        <f t="shared" si="9"/>
        <v>2024</v>
      </c>
    </row>
    <row r="238" spans="1:11" x14ac:dyDescent="0.25">
      <c r="A238">
        <v>304</v>
      </c>
      <c r="B238" s="3">
        <v>45426</v>
      </c>
      <c r="C238" t="s">
        <v>7</v>
      </c>
      <c r="D238" t="s">
        <v>9</v>
      </c>
      <c r="E238">
        <v>5</v>
      </c>
      <c r="F238" s="5">
        <v>137028</v>
      </c>
      <c r="G238">
        <v>1072</v>
      </c>
      <c r="H238" t="s">
        <v>10</v>
      </c>
      <c r="I238" s="5">
        <f t="shared" si="10"/>
        <v>685140</v>
      </c>
      <c r="J238">
        <f t="shared" si="11"/>
        <v>5</v>
      </c>
      <c r="K238">
        <f t="shared" si="9"/>
        <v>2024</v>
      </c>
    </row>
    <row r="239" spans="1:11" x14ac:dyDescent="0.25">
      <c r="A239">
        <v>307</v>
      </c>
      <c r="B239" s="3">
        <v>45324</v>
      </c>
      <c r="C239" t="s">
        <v>7</v>
      </c>
      <c r="D239" t="s">
        <v>9</v>
      </c>
      <c r="E239">
        <v>11</v>
      </c>
      <c r="F239" s="5">
        <v>106757</v>
      </c>
      <c r="G239">
        <v>1008</v>
      </c>
      <c r="H239" t="s">
        <v>11</v>
      </c>
      <c r="I239" s="5">
        <f t="shared" si="10"/>
        <v>1174327</v>
      </c>
      <c r="J239">
        <f t="shared" si="11"/>
        <v>2</v>
      </c>
      <c r="K239">
        <f t="shared" si="9"/>
        <v>2024</v>
      </c>
    </row>
    <row r="240" spans="1:11" x14ac:dyDescent="0.25">
      <c r="A240">
        <v>308</v>
      </c>
      <c r="B240" s="3">
        <v>45467</v>
      </c>
      <c r="C240" t="s">
        <v>2</v>
      </c>
      <c r="D240" t="s">
        <v>8</v>
      </c>
      <c r="E240">
        <v>11</v>
      </c>
      <c r="F240" s="5">
        <v>271847</v>
      </c>
      <c r="G240">
        <v>1098</v>
      </c>
      <c r="H240" t="s">
        <v>11</v>
      </c>
      <c r="I240" s="5">
        <f t="shared" si="10"/>
        <v>2990317</v>
      </c>
      <c r="J240">
        <f t="shared" si="11"/>
        <v>6</v>
      </c>
      <c r="K240">
        <f t="shared" si="9"/>
        <v>2024</v>
      </c>
    </row>
    <row r="241" spans="1:11" x14ac:dyDescent="0.25">
      <c r="A241">
        <v>309</v>
      </c>
      <c r="B241" s="3">
        <v>45313</v>
      </c>
      <c r="C241" t="s">
        <v>5</v>
      </c>
      <c r="D241" t="s">
        <v>8</v>
      </c>
      <c r="E241">
        <v>8</v>
      </c>
      <c r="F241" s="5">
        <v>201200</v>
      </c>
      <c r="G241">
        <v>1020</v>
      </c>
      <c r="H241" t="s">
        <v>10</v>
      </c>
      <c r="I241" s="5">
        <f t="shared" si="10"/>
        <v>1609600</v>
      </c>
      <c r="J241">
        <f t="shared" si="11"/>
        <v>1</v>
      </c>
      <c r="K241">
        <f t="shared" si="9"/>
        <v>2024</v>
      </c>
    </row>
    <row r="242" spans="1:11" x14ac:dyDescent="0.25">
      <c r="A242">
        <v>310</v>
      </c>
      <c r="B242" s="3">
        <v>45529</v>
      </c>
      <c r="C242" t="s">
        <v>0</v>
      </c>
      <c r="D242" t="s">
        <v>8</v>
      </c>
      <c r="E242">
        <v>13</v>
      </c>
      <c r="F242" s="5">
        <v>77099</v>
      </c>
      <c r="G242">
        <v>1072</v>
      </c>
      <c r="H242" t="s">
        <v>10</v>
      </c>
      <c r="I242" s="5">
        <f t="shared" si="10"/>
        <v>1002287</v>
      </c>
      <c r="J242">
        <f t="shared" si="11"/>
        <v>8</v>
      </c>
      <c r="K242">
        <f t="shared" si="9"/>
        <v>2024</v>
      </c>
    </row>
    <row r="243" spans="1:11" x14ac:dyDescent="0.25">
      <c r="A243">
        <v>311</v>
      </c>
      <c r="B243" s="3">
        <v>45449</v>
      </c>
      <c r="C243" t="s">
        <v>6</v>
      </c>
      <c r="D243" t="s">
        <v>8</v>
      </c>
      <c r="E243">
        <v>1</v>
      </c>
      <c r="F243" s="5">
        <v>167932</v>
      </c>
      <c r="G243">
        <v>1027</v>
      </c>
      <c r="H243" t="s">
        <v>11</v>
      </c>
      <c r="I243" s="5">
        <f t="shared" si="10"/>
        <v>167932</v>
      </c>
      <c r="J243">
        <f t="shared" si="11"/>
        <v>6</v>
      </c>
      <c r="K243">
        <f t="shared" si="9"/>
        <v>2024</v>
      </c>
    </row>
    <row r="244" spans="1:11" x14ac:dyDescent="0.25">
      <c r="A244">
        <v>312</v>
      </c>
      <c r="B244" s="3">
        <v>45329</v>
      </c>
      <c r="C244" t="s">
        <v>1</v>
      </c>
      <c r="D244" t="s">
        <v>8</v>
      </c>
      <c r="E244">
        <v>2</v>
      </c>
      <c r="F244" s="5">
        <v>36585</v>
      </c>
      <c r="G244">
        <v>1061</v>
      </c>
      <c r="H244" t="s">
        <v>10</v>
      </c>
      <c r="I244" s="5">
        <f t="shared" si="10"/>
        <v>73170</v>
      </c>
      <c r="J244">
        <f t="shared" si="11"/>
        <v>2</v>
      </c>
      <c r="K244">
        <f t="shared" si="9"/>
        <v>2024</v>
      </c>
    </row>
    <row r="245" spans="1:11" x14ac:dyDescent="0.25">
      <c r="A245">
        <v>313</v>
      </c>
      <c r="B245" s="3">
        <v>45521</v>
      </c>
      <c r="C245" t="s">
        <v>3</v>
      </c>
      <c r="D245" t="s">
        <v>8</v>
      </c>
      <c r="E245">
        <v>11</v>
      </c>
      <c r="F245" s="5">
        <v>48585</v>
      </c>
      <c r="G245">
        <v>1006</v>
      </c>
      <c r="H245" t="s">
        <v>10</v>
      </c>
      <c r="I245" s="5">
        <f t="shared" si="10"/>
        <v>534435</v>
      </c>
      <c r="J245">
        <f t="shared" si="11"/>
        <v>8</v>
      </c>
      <c r="K245">
        <f t="shared" si="9"/>
        <v>2024</v>
      </c>
    </row>
    <row r="246" spans="1:11" x14ac:dyDescent="0.25">
      <c r="A246">
        <v>314</v>
      </c>
      <c r="B246" s="3">
        <v>45656</v>
      </c>
      <c r="C246" t="s">
        <v>2</v>
      </c>
      <c r="D246" t="s">
        <v>8</v>
      </c>
      <c r="E246">
        <v>13</v>
      </c>
      <c r="F246" s="5">
        <v>294102</v>
      </c>
      <c r="G246">
        <v>1079</v>
      </c>
      <c r="H246" t="s">
        <v>10</v>
      </c>
      <c r="I246" s="5">
        <f t="shared" si="10"/>
        <v>3823326</v>
      </c>
      <c r="J246">
        <f t="shared" si="11"/>
        <v>12</v>
      </c>
      <c r="K246">
        <f t="shared" si="9"/>
        <v>2024</v>
      </c>
    </row>
    <row r="247" spans="1:11" x14ac:dyDescent="0.25">
      <c r="A247">
        <v>315</v>
      </c>
      <c r="B247" s="3">
        <v>45342</v>
      </c>
      <c r="C247" t="s">
        <v>2</v>
      </c>
      <c r="D247" t="s">
        <v>8</v>
      </c>
      <c r="E247">
        <v>4</v>
      </c>
      <c r="F247" s="5">
        <v>293161</v>
      </c>
      <c r="G247">
        <v>1015</v>
      </c>
      <c r="H247" t="s">
        <v>12</v>
      </c>
      <c r="I247" s="5">
        <f t="shared" si="10"/>
        <v>1172644</v>
      </c>
      <c r="J247">
        <f t="shared" si="11"/>
        <v>2</v>
      </c>
      <c r="K247">
        <f t="shared" si="9"/>
        <v>2024</v>
      </c>
    </row>
    <row r="248" spans="1:11" x14ac:dyDescent="0.25">
      <c r="A248">
        <v>316</v>
      </c>
      <c r="B248" s="3">
        <v>45555</v>
      </c>
      <c r="C248" t="s">
        <v>0</v>
      </c>
      <c r="D248" t="s">
        <v>8</v>
      </c>
      <c r="E248">
        <v>7</v>
      </c>
      <c r="F248" s="5">
        <v>296570</v>
      </c>
      <c r="G248">
        <v>1096</v>
      </c>
      <c r="H248" t="s">
        <v>11</v>
      </c>
      <c r="I248" s="5">
        <f t="shared" si="10"/>
        <v>2075990</v>
      </c>
      <c r="J248">
        <f t="shared" si="11"/>
        <v>9</v>
      </c>
      <c r="K248">
        <f t="shared" si="9"/>
        <v>2024</v>
      </c>
    </row>
    <row r="249" spans="1:11" x14ac:dyDescent="0.25">
      <c r="A249">
        <v>317</v>
      </c>
      <c r="B249" s="3">
        <v>45574</v>
      </c>
      <c r="C249" t="s">
        <v>7</v>
      </c>
      <c r="D249" t="s">
        <v>9</v>
      </c>
      <c r="E249">
        <v>4</v>
      </c>
      <c r="F249" s="5">
        <v>284922</v>
      </c>
      <c r="G249">
        <v>1003</v>
      </c>
      <c r="H249" t="s">
        <v>12</v>
      </c>
      <c r="I249" s="5">
        <f t="shared" si="10"/>
        <v>1139688</v>
      </c>
      <c r="J249">
        <f t="shared" si="11"/>
        <v>10</v>
      </c>
      <c r="K249">
        <f t="shared" si="9"/>
        <v>2024</v>
      </c>
    </row>
    <row r="250" spans="1:11" x14ac:dyDescent="0.25">
      <c r="A250">
        <v>319</v>
      </c>
      <c r="B250" s="3">
        <v>45517</v>
      </c>
      <c r="C250" t="s">
        <v>5</v>
      </c>
      <c r="D250" t="s">
        <v>8</v>
      </c>
      <c r="E250">
        <v>13</v>
      </c>
      <c r="F250" s="5">
        <v>47229</v>
      </c>
      <c r="G250">
        <v>1039</v>
      </c>
      <c r="H250" t="s">
        <v>12</v>
      </c>
      <c r="I250" s="5">
        <f t="shared" si="10"/>
        <v>613977</v>
      </c>
      <c r="J250">
        <f t="shared" si="11"/>
        <v>8</v>
      </c>
      <c r="K250">
        <f t="shared" si="9"/>
        <v>2024</v>
      </c>
    </row>
    <row r="251" spans="1:11" x14ac:dyDescent="0.25">
      <c r="A251">
        <v>320</v>
      </c>
      <c r="B251" s="3">
        <v>45568</v>
      </c>
      <c r="C251" t="s">
        <v>6</v>
      </c>
      <c r="D251" t="s">
        <v>8</v>
      </c>
      <c r="E251">
        <v>1</v>
      </c>
      <c r="F251" s="5">
        <v>91652</v>
      </c>
      <c r="G251">
        <v>1016</v>
      </c>
      <c r="H251" t="s">
        <v>10</v>
      </c>
      <c r="I251" s="5">
        <f t="shared" si="10"/>
        <v>91652</v>
      </c>
      <c r="J251">
        <f t="shared" si="11"/>
        <v>10</v>
      </c>
      <c r="K251">
        <f t="shared" si="9"/>
        <v>2024</v>
      </c>
    </row>
    <row r="252" spans="1:11" x14ac:dyDescent="0.25">
      <c r="A252">
        <v>323</v>
      </c>
      <c r="B252" s="3">
        <v>45575</v>
      </c>
      <c r="C252" t="s">
        <v>0</v>
      </c>
      <c r="D252" t="s">
        <v>8</v>
      </c>
      <c r="E252">
        <v>12</v>
      </c>
      <c r="F252" s="5">
        <v>265116</v>
      </c>
      <c r="G252">
        <v>1051</v>
      </c>
      <c r="H252" t="s">
        <v>12</v>
      </c>
      <c r="I252" s="5">
        <f t="shared" si="10"/>
        <v>3181392</v>
      </c>
      <c r="J252">
        <f t="shared" si="11"/>
        <v>10</v>
      </c>
      <c r="K252">
        <f t="shared" si="9"/>
        <v>2024</v>
      </c>
    </row>
    <row r="253" spans="1:11" x14ac:dyDescent="0.25">
      <c r="A253">
        <v>324</v>
      </c>
      <c r="B253" s="3">
        <v>45608</v>
      </c>
      <c r="C253" t="s">
        <v>3</v>
      </c>
      <c r="D253" t="s">
        <v>8</v>
      </c>
      <c r="E253">
        <v>2</v>
      </c>
      <c r="F253" s="5">
        <v>24975</v>
      </c>
      <c r="G253">
        <v>1035</v>
      </c>
      <c r="H253" t="s">
        <v>12</v>
      </c>
      <c r="I253" s="5">
        <f t="shared" si="10"/>
        <v>49950</v>
      </c>
      <c r="J253">
        <f t="shared" si="11"/>
        <v>11</v>
      </c>
      <c r="K253">
        <f t="shared" si="9"/>
        <v>2024</v>
      </c>
    </row>
    <row r="254" spans="1:11" x14ac:dyDescent="0.25">
      <c r="A254">
        <v>325</v>
      </c>
      <c r="B254" s="3">
        <v>45595</v>
      </c>
      <c r="C254" t="s">
        <v>7</v>
      </c>
      <c r="D254" t="s">
        <v>9</v>
      </c>
      <c r="E254">
        <v>8</v>
      </c>
      <c r="F254" s="5">
        <v>162795</v>
      </c>
      <c r="G254">
        <v>1037</v>
      </c>
      <c r="H254" t="s">
        <v>12</v>
      </c>
      <c r="I254" s="5">
        <f t="shared" si="10"/>
        <v>1302360</v>
      </c>
      <c r="J254">
        <f t="shared" si="11"/>
        <v>10</v>
      </c>
      <c r="K254">
        <f t="shared" si="9"/>
        <v>2024</v>
      </c>
    </row>
    <row r="255" spans="1:11" x14ac:dyDescent="0.25">
      <c r="A255">
        <v>326</v>
      </c>
      <c r="B255" s="3">
        <v>45438</v>
      </c>
      <c r="C255" t="s">
        <v>3</v>
      </c>
      <c r="D255" t="s">
        <v>8</v>
      </c>
      <c r="E255">
        <v>7</v>
      </c>
      <c r="F255" s="5">
        <v>214373</v>
      </c>
      <c r="G255">
        <v>1049</v>
      </c>
      <c r="H255" t="s">
        <v>11</v>
      </c>
      <c r="I255" s="5">
        <f t="shared" si="10"/>
        <v>1500611</v>
      </c>
      <c r="J255">
        <f t="shared" si="11"/>
        <v>5</v>
      </c>
      <c r="K255">
        <f t="shared" si="9"/>
        <v>2024</v>
      </c>
    </row>
    <row r="256" spans="1:11" x14ac:dyDescent="0.25">
      <c r="A256">
        <v>329</v>
      </c>
      <c r="B256" s="3">
        <v>45483</v>
      </c>
      <c r="C256" t="s">
        <v>1</v>
      </c>
      <c r="D256" t="s">
        <v>8</v>
      </c>
      <c r="E256">
        <v>9</v>
      </c>
      <c r="F256" s="5">
        <v>294060</v>
      </c>
      <c r="G256">
        <v>1061</v>
      </c>
      <c r="H256" t="s">
        <v>10</v>
      </c>
      <c r="I256" s="5">
        <f t="shared" si="10"/>
        <v>2646540</v>
      </c>
      <c r="J256">
        <f t="shared" si="11"/>
        <v>7</v>
      </c>
      <c r="K256">
        <f t="shared" si="9"/>
        <v>2024</v>
      </c>
    </row>
    <row r="257" spans="1:11" x14ac:dyDescent="0.25">
      <c r="A257">
        <v>330</v>
      </c>
      <c r="B257" s="3">
        <v>45340</v>
      </c>
      <c r="C257" t="s">
        <v>3</v>
      </c>
      <c r="D257" t="s">
        <v>8</v>
      </c>
      <c r="E257">
        <v>2</v>
      </c>
      <c r="F257" s="5">
        <v>69324</v>
      </c>
      <c r="G257">
        <v>1098</v>
      </c>
      <c r="H257" t="s">
        <v>12</v>
      </c>
      <c r="I257" s="5">
        <f t="shared" si="10"/>
        <v>138648</v>
      </c>
      <c r="J257">
        <f t="shared" si="11"/>
        <v>2</v>
      </c>
      <c r="K257">
        <f t="shared" si="9"/>
        <v>2024</v>
      </c>
    </row>
    <row r="258" spans="1:11" x14ac:dyDescent="0.25">
      <c r="A258">
        <v>331</v>
      </c>
      <c r="B258" s="3">
        <v>45308</v>
      </c>
      <c r="C258" t="s">
        <v>5</v>
      </c>
      <c r="D258" t="s">
        <v>8</v>
      </c>
      <c r="E258">
        <v>2</v>
      </c>
      <c r="F258" s="5">
        <v>181037</v>
      </c>
      <c r="G258">
        <v>1006</v>
      </c>
      <c r="H258" t="s">
        <v>10</v>
      </c>
      <c r="I258" s="5">
        <f t="shared" si="10"/>
        <v>362074</v>
      </c>
      <c r="J258">
        <f t="shared" si="11"/>
        <v>1</v>
      </c>
      <c r="K258">
        <f t="shared" si="9"/>
        <v>2024</v>
      </c>
    </row>
    <row r="259" spans="1:11" x14ac:dyDescent="0.25">
      <c r="A259">
        <v>332</v>
      </c>
      <c r="B259" s="3">
        <v>45463</v>
      </c>
      <c r="C259" t="s">
        <v>6</v>
      </c>
      <c r="D259" t="s">
        <v>8</v>
      </c>
      <c r="E259">
        <v>3</v>
      </c>
      <c r="F259" s="5">
        <v>140720</v>
      </c>
      <c r="G259">
        <v>1026</v>
      </c>
      <c r="H259" t="s">
        <v>10</v>
      </c>
      <c r="I259" s="5">
        <f t="shared" si="10"/>
        <v>422160</v>
      </c>
      <c r="J259">
        <f t="shared" si="11"/>
        <v>6</v>
      </c>
      <c r="K259">
        <f t="shared" ref="K259:K322" si="12">YEAR(B259)</f>
        <v>2024</v>
      </c>
    </row>
    <row r="260" spans="1:11" x14ac:dyDescent="0.25">
      <c r="A260">
        <v>333</v>
      </c>
      <c r="B260" s="3">
        <v>45511</v>
      </c>
      <c r="C260" t="s">
        <v>2</v>
      </c>
      <c r="D260" t="s">
        <v>8</v>
      </c>
      <c r="E260">
        <v>6</v>
      </c>
      <c r="F260" s="5">
        <v>171205</v>
      </c>
      <c r="G260">
        <v>1091</v>
      </c>
      <c r="H260" t="s">
        <v>12</v>
      </c>
      <c r="I260" s="5">
        <f t="shared" ref="I260:I323" si="13">E260*F260</f>
        <v>1027230</v>
      </c>
      <c r="J260">
        <f t="shared" ref="J260:J323" si="14">MONTH(B260)</f>
        <v>8</v>
      </c>
      <c r="K260">
        <f t="shared" si="12"/>
        <v>2024</v>
      </c>
    </row>
    <row r="261" spans="1:11" x14ac:dyDescent="0.25">
      <c r="A261">
        <v>335</v>
      </c>
      <c r="B261" s="3">
        <v>45337</v>
      </c>
      <c r="C261" t="s">
        <v>3</v>
      </c>
      <c r="D261" t="s">
        <v>8</v>
      </c>
      <c r="E261">
        <v>9</v>
      </c>
      <c r="F261" s="5">
        <v>103317</v>
      </c>
      <c r="G261">
        <v>1013</v>
      </c>
      <c r="H261" t="s">
        <v>12</v>
      </c>
      <c r="I261" s="5">
        <f t="shared" si="13"/>
        <v>929853</v>
      </c>
      <c r="J261">
        <f t="shared" si="14"/>
        <v>2</v>
      </c>
      <c r="K261">
        <f t="shared" si="12"/>
        <v>2024</v>
      </c>
    </row>
    <row r="262" spans="1:11" x14ac:dyDescent="0.25">
      <c r="A262">
        <v>337</v>
      </c>
      <c r="B262" s="3">
        <v>45390</v>
      </c>
      <c r="C262" t="s">
        <v>5</v>
      </c>
      <c r="D262" t="s">
        <v>8</v>
      </c>
      <c r="E262">
        <v>9</v>
      </c>
      <c r="F262" s="5">
        <v>106459</v>
      </c>
      <c r="G262">
        <v>1085</v>
      </c>
      <c r="H262" t="s">
        <v>10</v>
      </c>
      <c r="I262" s="5">
        <f t="shared" si="13"/>
        <v>958131</v>
      </c>
      <c r="J262">
        <f t="shared" si="14"/>
        <v>4</v>
      </c>
      <c r="K262">
        <f t="shared" si="12"/>
        <v>2024</v>
      </c>
    </row>
    <row r="263" spans="1:11" x14ac:dyDescent="0.25">
      <c r="A263">
        <v>338</v>
      </c>
      <c r="B263" s="3">
        <v>45524</v>
      </c>
      <c r="C263" t="s">
        <v>5</v>
      </c>
      <c r="D263" t="s">
        <v>8</v>
      </c>
      <c r="E263">
        <v>14</v>
      </c>
      <c r="F263" s="5">
        <v>242697</v>
      </c>
      <c r="G263">
        <v>1004</v>
      </c>
      <c r="H263" t="s">
        <v>12</v>
      </c>
      <c r="I263" s="5">
        <f t="shared" si="13"/>
        <v>3397758</v>
      </c>
      <c r="J263">
        <f t="shared" si="14"/>
        <v>8</v>
      </c>
      <c r="K263">
        <f t="shared" si="12"/>
        <v>2024</v>
      </c>
    </row>
    <row r="264" spans="1:11" x14ac:dyDescent="0.25">
      <c r="A264">
        <v>339</v>
      </c>
      <c r="B264" s="3">
        <v>45328</v>
      </c>
      <c r="C264" t="s">
        <v>3</v>
      </c>
      <c r="D264" t="s">
        <v>8</v>
      </c>
      <c r="E264">
        <v>7</v>
      </c>
      <c r="F264" s="5">
        <v>205422</v>
      </c>
      <c r="G264">
        <v>1054</v>
      </c>
      <c r="H264" t="s">
        <v>11</v>
      </c>
      <c r="I264" s="5">
        <f t="shared" si="13"/>
        <v>1437954</v>
      </c>
      <c r="J264">
        <f t="shared" si="14"/>
        <v>2</v>
      </c>
      <c r="K264">
        <f t="shared" si="12"/>
        <v>2024</v>
      </c>
    </row>
    <row r="265" spans="1:11" x14ac:dyDescent="0.25">
      <c r="A265">
        <v>340</v>
      </c>
      <c r="B265" s="3">
        <v>45571</v>
      </c>
      <c r="C265" t="s">
        <v>6</v>
      </c>
      <c r="D265" t="s">
        <v>8</v>
      </c>
      <c r="E265">
        <v>11</v>
      </c>
      <c r="F265" s="5">
        <v>106520</v>
      </c>
      <c r="G265">
        <v>1001</v>
      </c>
      <c r="H265" t="s">
        <v>11</v>
      </c>
      <c r="I265" s="5">
        <f t="shared" si="13"/>
        <v>1171720</v>
      </c>
      <c r="J265">
        <f t="shared" si="14"/>
        <v>10</v>
      </c>
      <c r="K265">
        <f t="shared" si="12"/>
        <v>2024</v>
      </c>
    </row>
    <row r="266" spans="1:11" x14ac:dyDescent="0.25">
      <c r="A266">
        <v>341</v>
      </c>
      <c r="B266" s="3">
        <v>45640</v>
      </c>
      <c r="C266" t="s">
        <v>3</v>
      </c>
      <c r="D266" t="s">
        <v>8</v>
      </c>
      <c r="E266">
        <v>14</v>
      </c>
      <c r="F266" s="5">
        <v>66272</v>
      </c>
      <c r="G266">
        <v>1061</v>
      </c>
      <c r="H266" t="s">
        <v>10</v>
      </c>
      <c r="I266" s="5">
        <f t="shared" si="13"/>
        <v>927808</v>
      </c>
      <c r="J266">
        <f t="shared" si="14"/>
        <v>12</v>
      </c>
      <c r="K266">
        <f t="shared" si="12"/>
        <v>2024</v>
      </c>
    </row>
    <row r="267" spans="1:11" x14ac:dyDescent="0.25">
      <c r="A267">
        <v>342</v>
      </c>
      <c r="B267" s="3">
        <v>45593</v>
      </c>
      <c r="C267" t="s">
        <v>2</v>
      </c>
      <c r="D267" t="s">
        <v>8</v>
      </c>
      <c r="E267">
        <v>14</v>
      </c>
      <c r="F267" s="5">
        <v>228224</v>
      </c>
      <c r="G267">
        <v>1090</v>
      </c>
      <c r="H267" t="s">
        <v>10</v>
      </c>
      <c r="I267" s="5">
        <f t="shared" si="13"/>
        <v>3195136</v>
      </c>
      <c r="J267">
        <f t="shared" si="14"/>
        <v>10</v>
      </c>
      <c r="K267">
        <f t="shared" si="12"/>
        <v>2024</v>
      </c>
    </row>
    <row r="268" spans="1:11" x14ac:dyDescent="0.25">
      <c r="A268">
        <v>343</v>
      </c>
      <c r="B268" s="3">
        <v>45472</v>
      </c>
      <c r="C268" t="s">
        <v>3</v>
      </c>
      <c r="D268" t="s">
        <v>8</v>
      </c>
      <c r="E268">
        <v>11</v>
      </c>
      <c r="F268" s="5">
        <v>149832</v>
      </c>
      <c r="G268">
        <v>1020</v>
      </c>
      <c r="H268" t="s">
        <v>11</v>
      </c>
      <c r="I268" s="5">
        <f t="shared" si="13"/>
        <v>1648152</v>
      </c>
      <c r="J268">
        <f t="shared" si="14"/>
        <v>6</v>
      </c>
      <c r="K268">
        <f t="shared" si="12"/>
        <v>2024</v>
      </c>
    </row>
    <row r="269" spans="1:11" x14ac:dyDescent="0.25">
      <c r="A269">
        <v>344</v>
      </c>
      <c r="B269" s="3">
        <v>45386</v>
      </c>
      <c r="C269" t="s">
        <v>5</v>
      </c>
      <c r="D269" t="s">
        <v>8</v>
      </c>
      <c r="E269">
        <v>6</v>
      </c>
      <c r="F269" s="5">
        <v>157999</v>
      </c>
      <c r="G269">
        <v>1078</v>
      </c>
      <c r="H269" t="s">
        <v>12</v>
      </c>
      <c r="I269" s="5">
        <f t="shared" si="13"/>
        <v>947994</v>
      </c>
      <c r="J269">
        <f t="shared" si="14"/>
        <v>4</v>
      </c>
      <c r="K269">
        <f t="shared" si="12"/>
        <v>2024</v>
      </c>
    </row>
    <row r="270" spans="1:11" x14ac:dyDescent="0.25">
      <c r="A270">
        <v>345</v>
      </c>
      <c r="B270" s="3">
        <v>45390</v>
      </c>
      <c r="C270" t="s">
        <v>1</v>
      </c>
      <c r="D270" t="s">
        <v>8</v>
      </c>
      <c r="E270">
        <v>5</v>
      </c>
      <c r="F270" s="5">
        <v>66367</v>
      </c>
      <c r="G270">
        <v>1020</v>
      </c>
      <c r="H270" t="s">
        <v>10</v>
      </c>
      <c r="I270" s="5">
        <f t="shared" si="13"/>
        <v>331835</v>
      </c>
      <c r="J270">
        <f t="shared" si="14"/>
        <v>4</v>
      </c>
      <c r="K270">
        <f t="shared" si="12"/>
        <v>2024</v>
      </c>
    </row>
    <row r="271" spans="1:11" x14ac:dyDescent="0.25">
      <c r="A271">
        <v>347</v>
      </c>
      <c r="B271" s="3">
        <v>45407</v>
      </c>
      <c r="C271" t="s">
        <v>6</v>
      </c>
      <c r="D271" t="s">
        <v>8</v>
      </c>
      <c r="E271">
        <v>10</v>
      </c>
      <c r="F271" s="5">
        <v>237750</v>
      </c>
      <c r="G271">
        <v>1086</v>
      </c>
      <c r="H271" t="s">
        <v>10</v>
      </c>
      <c r="I271" s="5">
        <f t="shared" si="13"/>
        <v>2377500</v>
      </c>
      <c r="J271">
        <f t="shared" si="14"/>
        <v>4</v>
      </c>
      <c r="K271">
        <f t="shared" si="12"/>
        <v>2024</v>
      </c>
    </row>
    <row r="272" spans="1:11" x14ac:dyDescent="0.25">
      <c r="A272">
        <v>348</v>
      </c>
      <c r="B272" s="3">
        <v>45482</v>
      </c>
      <c r="C272" t="s">
        <v>0</v>
      </c>
      <c r="D272" t="s">
        <v>8</v>
      </c>
      <c r="E272">
        <v>4</v>
      </c>
      <c r="F272" s="5">
        <v>240806</v>
      </c>
      <c r="G272">
        <v>1057</v>
      </c>
      <c r="H272" t="s">
        <v>12</v>
      </c>
      <c r="I272" s="5">
        <f t="shared" si="13"/>
        <v>963224</v>
      </c>
      <c r="J272">
        <f t="shared" si="14"/>
        <v>7</v>
      </c>
      <c r="K272">
        <f t="shared" si="12"/>
        <v>2024</v>
      </c>
    </row>
    <row r="273" spans="1:11" x14ac:dyDescent="0.25">
      <c r="A273">
        <v>349</v>
      </c>
      <c r="B273" s="3">
        <v>45544</v>
      </c>
      <c r="C273" t="s">
        <v>1</v>
      </c>
      <c r="D273" t="s">
        <v>8</v>
      </c>
      <c r="E273">
        <v>6</v>
      </c>
      <c r="F273" s="5">
        <v>188305</v>
      </c>
      <c r="G273">
        <v>1038</v>
      </c>
      <c r="H273" t="s">
        <v>11</v>
      </c>
      <c r="I273" s="5">
        <f t="shared" si="13"/>
        <v>1129830</v>
      </c>
      <c r="J273">
        <f t="shared" si="14"/>
        <v>9</v>
      </c>
      <c r="K273">
        <f t="shared" si="12"/>
        <v>2024</v>
      </c>
    </row>
    <row r="274" spans="1:11" x14ac:dyDescent="0.25">
      <c r="A274">
        <v>350</v>
      </c>
      <c r="B274" s="3">
        <v>45452</v>
      </c>
      <c r="C274" t="s">
        <v>7</v>
      </c>
      <c r="D274" t="s">
        <v>9</v>
      </c>
      <c r="E274">
        <v>8</v>
      </c>
      <c r="F274" s="5">
        <v>49738</v>
      </c>
      <c r="G274">
        <v>1004</v>
      </c>
      <c r="H274" t="s">
        <v>10</v>
      </c>
      <c r="I274" s="5">
        <f t="shared" si="13"/>
        <v>397904</v>
      </c>
      <c r="J274">
        <f t="shared" si="14"/>
        <v>6</v>
      </c>
      <c r="K274">
        <f t="shared" si="12"/>
        <v>2024</v>
      </c>
    </row>
    <row r="275" spans="1:11" x14ac:dyDescent="0.25">
      <c r="A275">
        <v>351</v>
      </c>
      <c r="B275" s="3">
        <v>45547</v>
      </c>
      <c r="C275" t="s">
        <v>4</v>
      </c>
      <c r="D275" t="s">
        <v>8</v>
      </c>
      <c r="E275">
        <v>11</v>
      </c>
      <c r="F275" s="5">
        <v>38397</v>
      </c>
      <c r="G275">
        <v>1064</v>
      </c>
      <c r="H275" t="s">
        <v>12</v>
      </c>
      <c r="I275" s="5">
        <f t="shared" si="13"/>
        <v>422367</v>
      </c>
      <c r="J275">
        <f t="shared" si="14"/>
        <v>9</v>
      </c>
      <c r="K275">
        <f t="shared" si="12"/>
        <v>2024</v>
      </c>
    </row>
    <row r="276" spans="1:11" x14ac:dyDescent="0.25">
      <c r="A276">
        <v>352</v>
      </c>
      <c r="B276" s="3">
        <v>45614</v>
      </c>
      <c r="C276" t="s">
        <v>3</v>
      </c>
      <c r="D276" t="s">
        <v>8</v>
      </c>
      <c r="E276">
        <v>1</v>
      </c>
      <c r="F276" s="5">
        <v>207332</v>
      </c>
      <c r="G276">
        <v>1012</v>
      </c>
      <c r="H276" t="s">
        <v>10</v>
      </c>
      <c r="I276" s="5">
        <f t="shared" si="13"/>
        <v>207332</v>
      </c>
      <c r="J276">
        <f t="shared" si="14"/>
        <v>11</v>
      </c>
      <c r="K276">
        <f t="shared" si="12"/>
        <v>2024</v>
      </c>
    </row>
    <row r="277" spans="1:11" x14ac:dyDescent="0.25">
      <c r="A277">
        <v>353</v>
      </c>
      <c r="B277" s="3">
        <v>45419</v>
      </c>
      <c r="C277" t="s">
        <v>6</v>
      </c>
      <c r="D277" t="s">
        <v>8</v>
      </c>
      <c r="E277">
        <v>10</v>
      </c>
      <c r="F277" s="5">
        <v>116453</v>
      </c>
      <c r="G277">
        <v>1084</v>
      </c>
      <c r="H277" t="s">
        <v>12</v>
      </c>
      <c r="I277" s="5">
        <f t="shared" si="13"/>
        <v>1164530</v>
      </c>
      <c r="J277">
        <f t="shared" si="14"/>
        <v>5</v>
      </c>
      <c r="K277">
        <f t="shared" si="12"/>
        <v>2024</v>
      </c>
    </row>
    <row r="278" spans="1:11" x14ac:dyDescent="0.25">
      <c r="A278">
        <v>355</v>
      </c>
      <c r="B278" s="3">
        <v>45572</v>
      </c>
      <c r="C278" t="s">
        <v>6</v>
      </c>
      <c r="D278" t="s">
        <v>8</v>
      </c>
      <c r="E278">
        <v>2</v>
      </c>
      <c r="F278" s="5">
        <v>250011</v>
      </c>
      <c r="G278">
        <v>1084</v>
      </c>
      <c r="H278" t="s">
        <v>11</v>
      </c>
      <c r="I278" s="5">
        <f t="shared" si="13"/>
        <v>500022</v>
      </c>
      <c r="J278">
        <f t="shared" si="14"/>
        <v>10</v>
      </c>
      <c r="K278">
        <f t="shared" si="12"/>
        <v>2024</v>
      </c>
    </row>
    <row r="279" spans="1:11" x14ac:dyDescent="0.25">
      <c r="A279">
        <v>356</v>
      </c>
      <c r="B279" s="3">
        <v>45514</v>
      </c>
      <c r="C279" t="s">
        <v>7</v>
      </c>
      <c r="D279" t="s">
        <v>9</v>
      </c>
      <c r="E279">
        <v>8</v>
      </c>
      <c r="F279" s="5">
        <v>218567</v>
      </c>
      <c r="G279">
        <v>1052</v>
      </c>
      <c r="H279" t="s">
        <v>12</v>
      </c>
      <c r="I279" s="5">
        <f t="shared" si="13"/>
        <v>1748536</v>
      </c>
      <c r="J279">
        <f t="shared" si="14"/>
        <v>8</v>
      </c>
      <c r="K279">
        <f t="shared" si="12"/>
        <v>2024</v>
      </c>
    </row>
    <row r="280" spans="1:11" x14ac:dyDescent="0.25">
      <c r="A280">
        <v>357</v>
      </c>
      <c r="B280" s="3">
        <v>45345</v>
      </c>
      <c r="C280" t="s">
        <v>5</v>
      </c>
      <c r="D280" t="s">
        <v>8</v>
      </c>
      <c r="E280">
        <v>3</v>
      </c>
      <c r="F280" s="5">
        <v>76635</v>
      </c>
      <c r="G280">
        <v>1081</v>
      </c>
      <c r="H280" t="s">
        <v>10</v>
      </c>
      <c r="I280" s="5">
        <f t="shared" si="13"/>
        <v>229905</v>
      </c>
      <c r="J280">
        <f t="shared" si="14"/>
        <v>2</v>
      </c>
      <c r="K280">
        <f t="shared" si="12"/>
        <v>2024</v>
      </c>
    </row>
    <row r="281" spans="1:11" x14ac:dyDescent="0.25">
      <c r="A281">
        <v>358</v>
      </c>
      <c r="B281" s="3">
        <v>45349</v>
      </c>
      <c r="C281" t="s">
        <v>6</v>
      </c>
      <c r="D281" t="s">
        <v>8</v>
      </c>
      <c r="E281">
        <v>7</v>
      </c>
      <c r="F281" s="5">
        <v>221184</v>
      </c>
      <c r="G281">
        <v>1044</v>
      </c>
      <c r="H281" t="s">
        <v>12</v>
      </c>
      <c r="I281" s="5">
        <f t="shared" si="13"/>
        <v>1548288</v>
      </c>
      <c r="J281">
        <f t="shared" si="14"/>
        <v>2</v>
      </c>
      <c r="K281">
        <f t="shared" si="12"/>
        <v>2024</v>
      </c>
    </row>
    <row r="282" spans="1:11" x14ac:dyDescent="0.25">
      <c r="A282">
        <v>359</v>
      </c>
      <c r="B282" s="3">
        <v>45614</v>
      </c>
      <c r="C282" t="s">
        <v>1</v>
      </c>
      <c r="D282" t="s">
        <v>8</v>
      </c>
      <c r="E282">
        <v>1</v>
      </c>
      <c r="F282" s="5">
        <v>187958</v>
      </c>
      <c r="G282">
        <v>1031</v>
      </c>
      <c r="H282" t="s">
        <v>12</v>
      </c>
      <c r="I282" s="5">
        <f t="shared" si="13"/>
        <v>187958</v>
      </c>
      <c r="J282">
        <f t="shared" si="14"/>
        <v>11</v>
      </c>
      <c r="K282">
        <f t="shared" si="12"/>
        <v>2024</v>
      </c>
    </row>
    <row r="283" spans="1:11" x14ac:dyDescent="0.25">
      <c r="A283">
        <v>360</v>
      </c>
      <c r="B283" s="3">
        <v>45651</v>
      </c>
      <c r="C283" t="s">
        <v>6</v>
      </c>
      <c r="D283" t="s">
        <v>8</v>
      </c>
      <c r="E283">
        <v>6</v>
      </c>
      <c r="F283" s="5">
        <v>282707</v>
      </c>
      <c r="G283">
        <v>1035</v>
      </c>
      <c r="H283" t="s">
        <v>11</v>
      </c>
      <c r="I283" s="5">
        <f t="shared" si="13"/>
        <v>1696242</v>
      </c>
      <c r="J283">
        <f t="shared" si="14"/>
        <v>12</v>
      </c>
      <c r="K283">
        <f t="shared" si="12"/>
        <v>2024</v>
      </c>
    </row>
    <row r="284" spans="1:11" x14ac:dyDescent="0.25">
      <c r="A284">
        <v>361</v>
      </c>
      <c r="B284" s="3">
        <v>45465</v>
      </c>
      <c r="C284" t="s">
        <v>6</v>
      </c>
      <c r="D284" t="s">
        <v>8</v>
      </c>
      <c r="E284">
        <v>3</v>
      </c>
      <c r="F284" s="5">
        <v>97324</v>
      </c>
      <c r="G284">
        <v>1080</v>
      </c>
      <c r="H284" t="s">
        <v>12</v>
      </c>
      <c r="I284" s="5">
        <f t="shared" si="13"/>
        <v>291972</v>
      </c>
      <c r="J284">
        <f t="shared" si="14"/>
        <v>6</v>
      </c>
      <c r="K284">
        <f t="shared" si="12"/>
        <v>2024</v>
      </c>
    </row>
    <row r="285" spans="1:11" x14ac:dyDescent="0.25">
      <c r="A285">
        <v>363</v>
      </c>
      <c r="B285" s="3">
        <v>45405</v>
      </c>
      <c r="C285" t="s">
        <v>2</v>
      </c>
      <c r="D285" t="s">
        <v>8</v>
      </c>
      <c r="E285">
        <v>14</v>
      </c>
      <c r="F285" s="5">
        <v>237944</v>
      </c>
      <c r="G285">
        <v>1059</v>
      </c>
      <c r="H285" t="s">
        <v>10</v>
      </c>
      <c r="I285" s="5">
        <f t="shared" si="13"/>
        <v>3331216</v>
      </c>
      <c r="J285">
        <f t="shared" si="14"/>
        <v>4</v>
      </c>
      <c r="K285">
        <f t="shared" si="12"/>
        <v>2024</v>
      </c>
    </row>
    <row r="286" spans="1:11" x14ac:dyDescent="0.25">
      <c r="A286">
        <v>364</v>
      </c>
      <c r="B286" s="3">
        <v>45579</v>
      </c>
      <c r="C286" t="s">
        <v>2</v>
      </c>
      <c r="D286" t="s">
        <v>8</v>
      </c>
      <c r="E286">
        <v>2</v>
      </c>
      <c r="F286" s="5">
        <v>276991</v>
      </c>
      <c r="G286">
        <v>1010</v>
      </c>
      <c r="H286" t="s">
        <v>11</v>
      </c>
      <c r="I286" s="5">
        <f t="shared" si="13"/>
        <v>553982</v>
      </c>
      <c r="J286">
        <f t="shared" si="14"/>
        <v>10</v>
      </c>
      <c r="K286">
        <f t="shared" si="12"/>
        <v>2024</v>
      </c>
    </row>
    <row r="287" spans="1:11" x14ac:dyDescent="0.25">
      <c r="A287">
        <v>365</v>
      </c>
      <c r="B287" s="3">
        <v>45633</v>
      </c>
      <c r="C287" t="s">
        <v>5</v>
      </c>
      <c r="D287" t="s">
        <v>8</v>
      </c>
      <c r="E287">
        <v>3</v>
      </c>
      <c r="F287" s="5">
        <v>31155</v>
      </c>
      <c r="G287">
        <v>1062</v>
      </c>
      <c r="H287" t="s">
        <v>11</v>
      </c>
      <c r="I287" s="5">
        <f t="shared" si="13"/>
        <v>93465</v>
      </c>
      <c r="J287">
        <f t="shared" si="14"/>
        <v>12</v>
      </c>
      <c r="K287">
        <f t="shared" si="12"/>
        <v>2024</v>
      </c>
    </row>
    <row r="288" spans="1:11" x14ac:dyDescent="0.25">
      <c r="A288">
        <v>366</v>
      </c>
      <c r="B288" s="3">
        <v>45442</v>
      </c>
      <c r="C288" t="s">
        <v>3</v>
      </c>
      <c r="D288" t="s">
        <v>8</v>
      </c>
      <c r="E288">
        <v>9</v>
      </c>
      <c r="F288" s="5">
        <v>121891</v>
      </c>
      <c r="G288">
        <v>1020</v>
      </c>
      <c r="H288" t="s">
        <v>11</v>
      </c>
      <c r="I288" s="5">
        <f t="shared" si="13"/>
        <v>1097019</v>
      </c>
      <c r="J288">
        <f t="shared" si="14"/>
        <v>5</v>
      </c>
      <c r="K288">
        <f t="shared" si="12"/>
        <v>2024</v>
      </c>
    </row>
    <row r="289" spans="1:11" x14ac:dyDescent="0.25">
      <c r="A289">
        <v>367</v>
      </c>
      <c r="B289" s="3">
        <v>45418</v>
      </c>
      <c r="C289" t="s">
        <v>6</v>
      </c>
      <c r="D289" t="s">
        <v>8</v>
      </c>
      <c r="E289">
        <v>7</v>
      </c>
      <c r="F289" s="5">
        <v>154381</v>
      </c>
      <c r="G289">
        <v>1051</v>
      </c>
      <c r="H289" t="s">
        <v>12</v>
      </c>
      <c r="I289" s="5">
        <f t="shared" si="13"/>
        <v>1080667</v>
      </c>
      <c r="J289">
        <f t="shared" si="14"/>
        <v>5</v>
      </c>
      <c r="K289">
        <f t="shared" si="12"/>
        <v>2024</v>
      </c>
    </row>
    <row r="290" spans="1:11" x14ac:dyDescent="0.25">
      <c r="A290">
        <v>368</v>
      </c>
      <c r="B290" s="3">
        <v>45446</v>
      </c>
      <c r="C290" t="s">
        <v>7</v>
      </c>
      <c r="D290" t="s">
        <v>9</v>
      </c>
      <c r="E290">
        <v>3</v>
      </c>
      <c r="F290" s="5">
        <v>136691</v>
      </c>
      <c r="G290">
        <v>1054</v>
      </c>
      <c r="H290" t="s">
        <v>11</v>
      </c>
      <c r="I290" s="5">
        <f t="shared" si="13"/>
        <v>410073</v>
      </c>
      <c r="J290">
        <f t="shared" si="14"/>
        <v>6</v>
      </c>
      <c r="K290">
        <f t="shared" si="12"/>
        <v>2024</v>
      </c>
    </row>
    <row r="291" spans="1:11" x14ac:dyDescent="0.25">
      <c r="A291">
        <v>369</v>
      </c>
      <c r="B291" s="3">
        <v>45564</v>
      </c>
      <c r="C291" t="s">
        <v>3</v>
      </c>
      <c r="D291" t="s">
        <v>8</v>
      </c>
      <c r="E291">
        <v>5</v>
      </c>
      <c r="F291" s="5">
        <v>39707</v>
      </c>
      <c r="G291">
        <v>1025</v>
      </c>
      <c r="H291" t="s">
        <v>12</v>
      </c>
      <c r="I291" s="5">
        <f t="shared" si="13"/>
        <v>198535</v>
      </c>
      <c r="J291">
        <f t="shared" si="14"/>
        <v>9</v>
      </c>
      <c r="K291">
        <f t="shared" si="12"/>
        <v>2024</v>
      </c>
    </row>
    <row r="292" spans="1:11" x14ac:dyDescent="0.25">
      <c r="A292">
        <v>371</v>
      </c>
      <c r="B292" s="3">
        <v>45590</v>
      </c>
      <c r="C292" t="s">
        <v>3</v>
      </c>
      <c r="D292" t="s">
        <v>8</v>
      </c>
      <c r="E292">
        <v>9</v>
      </c>
      <c r="F292" s="5">
        <v>183686</v>
      </c>
      <c r="G292">
        <v>1033</v>
      </c>
      <c r="H292" t="s">
        <v>10</v>
      </c>
      <c r="I292" s="5">
        <f t="shared" si="13"/>
        <v>1653174</v>
      </c>
      <c r="J292">
        <f t="shared" si="14"/>
        <v>10</v>
      </c>
      <c r="K292">
        <f t="shared" si="12"/>
        <v>2024</v>
      </c>
    </row>
    <row r="293" spans="1:11" x14ac:dyDescent="0.25">
      <c r="A293">
        <v>372</v>
      </c>
      <c r="B293" s="3">
        <v>45537</v>
      </c>
      <c r="C293" t="s">
        <v>5</v>
      </c>
      <c r="D293" t="s">
        <v>8</v>
      </c>
      <c r="E293">
        <v>10</v>
      </c>
      <c r="F293" s="5">
        <v>227500</v>
      </c>
      <c r="G293">
        <v>1051</v>
      </c>
      <c r="H293" t="s">
        <v>10</v>
      </c>
      <c r="I293" s="5">
        <f t="shared" si="13"/>
        <v>2275000</v>
      </c>
      <c r="J293">
        <f t="shared" si="14"/>
        <v>9</v>
      </c>
      <c r="K293">
        <f t="shared" si="12"/>
        <v>2024</v>
      </c>
    </row>
    <row r="294" spans="1:11" x14ac:dyDescent="0.25">
      <c r="A294">
        <v>373</v>
      </c>
      <c r="B294" s="3">
        <v>45467</v>
      </c>
      <c r="C294" t="s">
        <v>6</v>
      </c>
      <c r="D294" t="s">
        <v>8</v>
      </c>
      <c r="E294">
        <v>4</v>
      </c>
      <c r="F294" s="5">
        <v>267425</v>
      </c>
      <c r="G294">
        <v>1081</v>
      </c>
      <c r="H294" t="s">
        <v>10</v>
      </c>
      <c r="I294" s="5">
        <f t="shared" si="13"/>
        <v>1069700</v>
      </c>
      <c r="J294">
        <f t="shared" si="14"/>
        <v>6</v>
      </c>
      <c r="K294">
        <f t="shared" si="12"/>
        <v>2024</v>
      </c>
    </row>
    <row r="295" spans="1:11" x14ac:dyDescent="0.25">
      <c r="A295">
        <v>374</v>
      </c>
      <c r="B295" s="3">
        <v>45330</v>
      </c>
      <c r="C295" t="s">
        <v>6</v>
      </c>
      <c r="D295" t="s">
        <v>8</v>
      </c>
      <c r="E295">
        <v>7</v>
      </c>
      <c r="F295" s="5">
        <v>163492</v>
      </c>
      <c r="G295">
        <v>1098</v>
      </c>
      <c r="H295" t="s">
        <v>10</v>
      </c>
      <c r="I295" s="5">
        <f t="shared" si="13"/>
        <v>1144444</v>
      </c>
      <c r="J295">
        <f t="shared" si="14"/>
        <v>2</v>
      </c>
      <c r="K295">
        <f t="shared" si="12"/>
        <v>2024</v>
      </c>
    </row>
    <row r="296" spans="1:11" x14ac:dyDescent="0.25">
      <c r="A296">
        <v>375</v>
      </c>
      <c r="B296" s="3">
        <v>45461</v>
      </c>
      <c r="C296" t="s">
        <v>4</v>
      </c>
      <c r="D296" t="s">
        <v>8</v>
      </c>
      <c r="E296">
        <v>10</v>
      </c>
      <c r="F296" s="5">
        <v>175102</v>
      </c>
      <c r="G296">
        <v>1092</v>
      </c>
      <c r="H296" t="s">
        <v>10</v>
      </c>
      <c r="I296" s="5">
        <f t="shared" si="13"/>
        <v>1751020</v>
      </c>
      <c r="J296">
        <f t="shared" si="14"/>
        <v>6</v>
      </c>
      <c r="K296">
        <f t="shared" si="12"/>
        <v>2024</v>
      </c>
    </row>
    <row r="297" spans="1:11" x14ac:dyDescent="0.25">
      <c r="A297">
        <v>376</v>
      </c>
      <c r="B297" s="3">
        <v>45538</v>
      </c>
      <c r="C297" t="s">
        <v>7</v>
      </c>
      <c r="D297" t="s">
        <v>9</v>
      </c>
      <c r="E297">
        <v>14</v>
      </c>
      <c r="F297" s="5">
        <v>222285</v>
      </c>
      <c r="G297">
        <v>1051</v>
      </c>
      <c r="H297" t="s">
        <v>12</v>
      </c>
      <c r="I297" s="5">
        <f t="shared" si="13"/>
        <v>3111990</v>
      </c>
      <c r="J297">
        <f t="shared" si="14"/>
        <v>9</v>
      </c>
      <c r="K297">
        <f t="shared" si="12"/>
        <v>2024</v>
      </c>
    </row>
    <row r="298" spans="1:11" x14ac:dyDescent="0.25">
      <c r="A298">
        <v>377</v>
      </c>
      <c r="B298" s="3">
        <v>45317</v>
      </c>
      <c r="C298" t="s">
        <v>3</v>
      </c>
      <c r="D298" t="s">
        <v>8</v>
      </c>
      <c r="E298">
        <v>11</v>
      </c>
      <c r="F298" s="5">
        <v>164476</v>
      </c>
      <c r="G298">
        <v>1028</v>
      </c>
      <c r="H298" t="s">
        <v>12</v>
      </c>
      <c r="I298" s="5">
        <f t="shared" si="13"/>
        <v>1809236</v>
      </c>
      <c r="J298">
        <f t="shared" si="14"/>
        <v>1</v>
      </c>
      <c r="K298">
        <f t="shared" si="12"/>
        <v>2024</v>
      </c>
    </row>
    <row r="299" spans="1:11" x14ac:dyDescent="0.25">
      <c r="A299">
        <v>379</v>
      </c>
      <c r="B299" s="3">
        <v>45597</v>
      </c>
      <c r="C299" t="s">
        <v>0</v>
      </c>
      <c r="D299" t="s">
        <v>8</v>
      </c>
      <c r="E299">
        <v>8</v>
      </c>
      <c r="F299" s="5">
        <v>165928</v>
      </c>
      <c r="G299">
        <v>1041</v>
      </c>
      <c r="H299" t="s">
        <v>12</v>
      </c>
      <c r="I299" s="5">
        <f t="shared" si="13"/>
        <v>1327424</v>
      </c>
      <c r="J299">
        <f t="shared" si="14"/>
        <v>11</v>
      </c>
      <c r="K299">
        <f t="shared" si="12"/>
        <v>2024</v>
      </c>
    </row>
    <row r="300" spans="1:11" x14ac:dyDescent="0.25">
      <c r="A300">
        <v>381</v>
      </c>
      <c r="B300" s="3">
        <v>45607</v>
      </c>
      <c r="C300" t="s">
        <v>2</v>
      </c>
      <c r="D300" t="s">
        <v>8</v>
      </c>
      <c r="E300">
        <v>1</v>
      </c>
      <c r="F300" s="5">
        <v>124273</v>
      </c>
      <c r="G300">
        <v>1041</v>
      </c>
      <c r="H300" t="s">
        <v>10</v>
      </c>
      <c r="I300" s="5">
        <f t="shared" si="13"/>
        <v>124273</v>
      </c>
      <c r="J300">
        <f t="shared" si="14"/>
        <v>11</v>
      </c>
      <c r="K300">
        <f t="shared" si="12"/>
        <v>2024</v>
      </c>
    </row>
    <row r="301" spans="1:11" x14ac:dyDescent="0.25">
      <c r="A301">
        <v>382</v>
      </c>
      <c r="B301" s="3">
        <v>45604</v>
      </c>
      <c r="C301" t="s">
        <v>4</v>
      </c>
      <c r="D301" t="s">
        <v>8</v>
      </c>
      <c r="E301">
        <v>8</v>
      </c>
      <c r="F301" s="5">
        <v>177307</v>
      </c>
      <c r="G301">
        <v>1012</v>
      </c>
      <c r="H301" t="s">
        <v>12</v>
      </c>
      <c r="I301" s="5">
        <f t="shared" si="13"/>
        <v>1418456</v>
      </c>
      <c r="J301">
        <f t="shared" si="14"/>
        <v>11</v>
      </c>
      <c r="K301">
        <f t="shared" si="12"/>
        <v>2024</v>
      </c>
    </row>
    <row r="302" spans="1:11" x14ac:dyDescent="0.25">
      <c r="A302">
        <v>383</v>
      </c>
      <c r="B302" s="3">
        <v>45327</v>
      </c>
      <c r="C302" t="s">
        <v>1</v>
      </c>
      <c r="D302" t="s">
        <v>8</v>
      </c>
      <c r="E302">
        <v>5</v>
      </c>
      <c r="F302" s="5">
        <v>253500</v>
      </c>
      <c r="G302">
        <v>1063</v>
      </c>
      <c r="H302" t="s">
        <v>10</v>
      </c>
      <c r="I302" s="5">
        <f t="shared" si="13"/>
        <v>1267500</v>
      </c>
      <c r="J302">
        <f t="shared" si="14"/>
        <v>2</v>
      </c>
      <c r="K302">
        <f t="shared" si="12"/>
        <v>2024</v>
      </c>
    </row>
    <row r="303" spans="1:11" x14ac:dyDescent="0.25">
      <c r="A303">
        <v>384</v>
      </c>
      <c r="B303" s="3">
        <v>45464</v>
      </c>
      <c r="C303" t="s">
        <v>0</v>
      </c>
      <c r="D303" t="s">
        <v>8</v>
      </c>
      <c r="E303">
        <v>8</v>
      </c>
      <c r="F303" s="5">
        <v>171129</v>
      </c>
      <c r="G303">
        <v>1016</v>
      </c>
      <c r="H303" t="s">
        <v>11</v>
      </c>
      <c r="I303" s="5">
        <f t="shared" si="13"/>
        <v>1369032</v>
      </c>
      <c r="J303">
        <f t="shared" si="14"/>
        <v>6</v>
      </c>
      <c r="K303">
        <f t="shared" si="12"/>
        <v>2024</v>
      </c>
    </row>
    <row r="304" spans="1:11" x14ac:dyDescent="0.25">
      <c r="A304">
        <v>385</v>
      </c>
      <c r="B304" s="3">
        <v>45311</v>
      </c>
      <c r="C304" t="s">
        <v>1</v>
      </c>
      <c r="D304" t="s">
        <v>8</v>
      </c>
      <c r="E304">
        <v>1</v>
      </c>
      <c r="F304" s="5">
        <v>137311</v>
      </c>
      <c r="G304">
        <v>1008</v>
      </c>
      <c r="H304" t="s">
        <v>11</v>
      </c>
      <c r="I304" s="5">
        <f t="shared" si="13"/>
        <v>137311</v>
      </c>
      <c r="J304">
        <f t="shared" si="14"/>
        <v>1</v>
      </c>
      <c r="K304">
        <f t="shared" si="12"/>
        <v>2024</v>
      </c>
    </row>
    <row r="305" spans="1:11" x14ac:dyDescent="0.25">
      <c r="A305">
        <v>386</v>
      </c>
      <c r="B305" s="3">
        <v>45612</v>
      </c>
      <c r="C305" t="s">
        <v>2</v>
      </c>
      <c r="D305" t="s">
        <v>8</v>
      </c>
      <c r="E305">
        <v>14</v>
      </c>
      <c r="F305" s="5">
        <v>239746</v>
      </c>
      <c r="G305">
        <v>1040</v>
      </c>
      <c r="H305" t="s">
        <v>12</v>
      </c>
      <c r="I305" s="5">
        <f t="shared" si="13"/>
        <v>3356444</v>
      </c>
      <c r="J305">
        <f t="shared" si="14"/>
        <v>11</v>
      </c>
      <c r="K305">
        <f t="shared" si="12"/>
        <v>2024</v>
      </c>
    </row>
    <row r="306" spans="1:11" x14ac:dyDescent="0.25">
      <c r="A306">
        <v>387</v>
      </c>
      <c r="B306" s="3">
        <v>45555</v>
      </c>
      <c r="C306" t="s">
        <v>2</v>
      </c>
      <c r="D306" t="s">
        <v>8</v>
      </c>
      <c r="E306">
        <v>4</v>
      </c>
      <c r="F306" s="5">
        <v>250546</v>
      </c>
      <c r="G306">
        <v>1000</v>
      </c>
      <c r="H306" t="s">
        <v>11</v>
      </c>
      <c r="I306" s="5">
        <f t="shared" si="13"/>
        <v>1002184</v>
      </c>
      <c r="J306">
        <f t="shared" si="14"/>
        <v>9</v>
      </c>
      <c r="K306">
        <f t="shared" si="12"/>
        <v>2024</v>
      </c>
    </row>
    <row r="307" spans="1:11" x14ac:dyDescent="0.25">
      <c r="A307">
        <v>388</v>
      </c>
      <c r="B307" s="3">
        <v>45433</v>
      </c>
      <c r="C307" t="s">
        <v>2</v>
      </c>
      <c r="D307" t="s">
        <v>8</v>
      </c>
      <c r="E307">
        <v>5</v>
      </c>
      <c r="F307" s="5">
        <v>201733</v>
      </c>
      <c r="G307">
        <v>1001</v>
      </c>
      <c r="H307" t="s">
        <v>12</v>
      </c>
      <c r="I307" s="5">
        <f t="shared" si="13"/>
        <v>1008665</v>
      </c>
      <c r="J307">
        <f t="shared" si="14"/>
        <v>5</v>
      </c>
      <c r="K307">
        <f t="shared" si="12"/>
        <v>2024</v>
      </c>
    </row>
    <row r="308" spans="1:11" x14ac:dyDescent="0.25">
      <c r="A308">
        <v>391</v>
      </c>
      <c r="B308" s="3">
        <v>45645</v>
      </c>
      <c r="C308" t="s">
        <v>5</v>
      </c>
      <c r="D308" t="s">
        <v>8</v>
      </c>
      <c r="E308">
        <v>12</v>
      </c>
      <c r="F308" s="5">
        <v>151470</v>
      </c>
      <c r="G308">
        <v>1028</v>
      </c>
      <c r="H308" t="s">
        <v>10</v>
      </c>
      <c r="I308" s="5">
        <f t="shared" si="13"/>
        <v>1817640</v>
      </c>
      <c r="J308">
        <f t="shared" si="14"/>
        <v>12</v>
      </c>
      <c r="K308">
        <f t="shared" si="12"/>
        <v>2024</v>
      </c>
    </row>
    <row r="309" spans="1:11" x14ac:dyDescent="0.25">
      <c r="A309">
        <v>392</v>
      </c>
      <c r="B309" s="3">
        <v>45613</v>
      </c>
      <c r="C309" t="s">
        <v>5</v>
      </c>
      <c r="D309" t="s">
        <v>8</v>
      </c>
      <c r="E309">
        <v>2</v>
      </c>
      <c r="F309" s="5">
        <v>125030</v>
      </c>
      <c r="G309">
        <v>1096</v>
      </c>
      <c r="H309" t="s">
        <v>10</v>
      </c>
      <c r="I309" s="5">
        <f t="shared" si="13"/>
        <v>250060</v>
      </c>
      <c r="J309">
        <f t="shared" si="14"/>
        <v>11</v>
      </c>
      <c r="K309">
        <f t="shared" si="12"/>
        <v>2024</v>
      </c>
    </row>
    <row r="310" spans="1:11" x14ac:dyDescent="0.25">
      <c r="A310">
        <v>394</v>
      </c>
      <c r="B310" s="3">
        <v>45506</v>
      </c>
      <c r="C310" t="s">
        <v>4</v>
      </c>
      <c r="D310" t="s">
        <v>8</v>
      </c>
      <c r="E310">
        <v>1</v>
      </c>
      <c r="F310" s="5">
        <v>14110</v>
      </c>
      <c r="G310">
        <v>1057</v>
      </c>
      <c r="H310" t="s">
        <v>12</v>
      </c>
      <c r="I310" s="5">
        <f t="shared" si="13"/>
        <v>14110</v>
      </c>
      <c r="J310">
        <f t="shared" si="14"/>
        <v>8</v>
      </c>
      <c r="K310">
        <f t="shared" si="12"/>
        <v>2024</v>
      </c>
    </row>
    <row r="311" spans="1:11" x14ac:dyDescent="0.25">
      <c r="A311">
        <v>395</v>
      </c>
      <c r="B311" s="3">
        <v>45633</v>
      </c>
      <c r="C311" t="s">
        <v>3</v>
      </c>
      <c r="D311" t="s">
        <v>8</v>
      </c>
      <c r="E311">
        <v>12</v>
      </c>
      <c r="F311" s="5">
        <v>84141</v>
      </c>
      <c r="G311">
        <v>1059</v>
      </c>
      <c r="H311" t="s">
        <v>11</v>
      </c>
      <c r="I311" s="5">
        <f t="shared" si="13"/>
        <v>1009692</v>
      </c>
      <c r="J311">
        <f t="shared" si="14"/>
        <v>12</v>
      </c>
      <c r="K311">
        <f t="shared" si="12"/>
        <v>2024</v>
      </c>
    </row>
    <row r="312" spans="1:11" x14ac:dyDescent="0.25">
      <c r="A312">
        <v>397</v>
      </c>
      <c r="B312" s="3">
        <v>45444</v>
      </c>
      <c r="C312" t="s">
        <v>4</v>
      </c>
      <c r="D312" t="s">
        <v>8</v>
      </c>
      <c r="E312">
        <v>8</v>
      </c>
      <c r="F312" s="5">
        <v>44062</v>
      </c>
      <c r="G312">
        <v>1027</v>
      </c>
      <c r="H312" t="s">
        <v>10</v>
      </c>
      <c r="I312" s="5">
        <f t="shared" si="13"/>
        <v>352496</v>
      </c>
      <c r="J312">
        <f t="shared" si="14"/>
        <v>6</v>
      </c>
      <c r="K312">
        <f t="shared" si="12"/>
        <v>2024</v>
      </c>
    </row>
    <row r="313" spans="1:11" x14ac:dyDescent="0.25">
      <c r="A313">
        <v>398</v>
      </c>
      <c r="B313" s="3">
        <v>45477</v>
      </c>
      <c r="C313" t="s">
        <v>6</v>
      </c>
      <c r="D313" t="s">
        <v>8</v>
      </c>
      <c r="E313">
        <v>14</v>
      </c>
      <c r="F313" s="5">
        <v>290055</v>
      </c>
      <c r="G313">
        <v>1074</v>
      </c>
      <c r="H313" t="s">
        <v>12</v>
      </c>
      <c r="I313" s="5">
        <f t="shared" si="13"/>
        <v>4060770</v>
      </c>
      <c r="J313">
        <f t="shared" si="14"/>
        <v>7</v>
      </c>
      <c r="K313">
        <f t="shared" si="12"/>
        <v>2024</v>
      </c>
    </row>
    <row r="314" spans="1:11" x14ac:dyDescent="0.25">
      <c r="A314">
        <v>399</v>
      </c>
      <c r="B314" s="3">
        <v>45354</v>
      </c>
      <c r="C314" t="s">
        <v>7</v>
      </c>
      <c r="D314" t="s">
        <v>9</v>
      </c>
      <c r="E314">
        <v>10</v>
      </c>
      <c r="F314" s="5">
        <v>109061</v>
      </c>
      <c r="G314">
        <v>1033</v>
      </c>
      <c r="H314" t="s">
        <v>11</v>
      </c>
      <c r="I314" s="5">
        <f t="shared" si="13"/>
        <v>1090610</v>
      </c>
      <c r="J314">
        <f t="shared" si="14"/>
        <v>3</v>
      </c>
      <c r="K314">
        <f t="shared" si="12"/>
        <v>2024</v>
      </c>
    </row>
    <row r="315" spans="1:11" x14ac:dyDescent="0.25">
      <c r="A315">
        <v>400</v>
      </c>
      <c r="B315" s="3">
        <v>45481</v>
      </c>
      <c r="C315" t="s">
        <v>7</v>
      </c>
      <c r="D315" t="s">
        <v>9</v>
      </c>
      <c r="E315">
        <v>8</v>
      </c>
      <c r="F315" s="5">
        <v>299700</v>
      </c>
      <c r="G315">
        <v>1007</v>
      </c>
      <c r="H315" t="s">
        <v>12</v>
      </c>
      <c r="I315" s="5">
        <f t="shared" si="13"/>
        <v>2397600</v>
      </c>
      <c r="J315">
        <f t="shared" si="14"/>
        <v>7</v>
      </c>
      <c r="K315">
        <f t="shared" si="12"/>
        <v>2024</v>
      </c>
    </row>
    <row r="316" spans="1:11" x14ac:dyDescent="0.25">
      <c r="A316">
        <v>402</v>
      </c>
      <c r="B316" s="3">
        <v>45441</v>
      </c>
      <c r="C316" t="s">
        <v>3</v>
      </c>
      <c r="D316" t="s">
        <v>8</v>
      </c>
      <c r="E316">
        <v>6</v>
      </c>
      <c r="F316" s="5">
        <v>126863</v>
      </c>
      <c r="G316">
        <v>1085</v>
      </c>
      <c r="H316" t="s">
        <v>12</v>
      </c>
      <c r="I316" s="5">
        <f t="shared" si="13"/>
        <v>761178</v>
      </c>
      <c r="J316">
        <f t="shared" si="14"/>
        <v>5</v>
      </c>
      <c r="K316">
        <f t="shared" si="12"/>
        <v>2024</v>
      </c>
    </row>
    <row r="317" spans="1:11" x14ac:dyDescent="0.25">
      <c r="A317">
        <v>404</v>
      </c>
      <c r="B317" s="3">
        <v>45349</v>
      </c>
      <c r="C317" t="s">
        <v>0</v>
      </c>
      <c r="D317" t="s">
        <v>8</v>
      </c>
      <c r="E317">
        <v>6</v>
      </c>
      <c r="F317" s="5">
        <v>128008</v>
      </c>
      <c r="G317">
        <v>1048</v>
      </c>
      <c r="H317" t="s">
        <v>11</v>
      </c>
      <c r="I317" s="5">
        <f t="shared" si="13"/>
        <v>768048</v>
      </c>
      <c r="J317">
        <f t="shared" si="14"/>
        <v>2</v>
      </c>
      <c r="K317">
        <f t="shared" si="12"/>
        <v>2024</v>
      </c>
    </row>
    <row r="318" spans="1:11" x14ac:dyDescent="0.25">
      <c r="A318">
        <v>405</v>
      </c>
      <c r="B318" s="3">
        <v>45633</v>
      </c>
      <c r="C318" t="s">
        <v>1</v>
      </c>
      <c r="D318" t="s">
        <v>8</v>
      </c>
      <c r="E318">
        <v>6</v>
      </c>
      <c r="F318" s="5">
        <v>159268</v>
      </c>
      <c r="G318">
        <v>1078</v>
      </c>
      <c r="H318" t="s">
        <v>10</v>
      </c>
      <c r="I318" s="5">
        <f t="shared" si="13"/>
        <v>955608</v>
      </c>
      <c r="J318">
        <f t="shared" si="14"/>
        <v>12</v>
      </c>
      <c r="K318">
        <f t="shared" si="12"/>
        <v>2024</v>
      </c>
    </row>
    <row r="319" spans="1:11" x14ac:dyDescent="0.25">
      <c r="A319">
        <v>406</v>
      </c>
      <c r="B319" s="3">
        <v>45596</v>
      </c>
      <c r="C319" t="s">
        <v>1</v>
      </c>
      <c r="D319" t="s">
        <v>8</v>
      </c>
      <c r="E319">
        <v>5</v>
      </c>
      <c r="F319" s="5">
        <v>110823</v>
      </c>
      <c r="G319">
        <v>1016</v>
      </c>
      <c r="H319" t="s">
        <v>11</v>
      </c>
      <c r="I319" s="5">
        <f t="shared" si="13"/>
        <v>554115</v>
      </c>
      <c r="J319">
        <f t="shared" si="14"/>
        <v>10</v>
      </c>
      <c r="K319">
        <f t="shared" si="12"/>
        <v>2024</v>
      </c>
    </row>
    <row r="320" spans="1:11" x14ac:dyDescent="0.25">
      <c r="A320">
        <v>407</v>
      </c>
      <c r="B320" s="3">
        <v>45471</v>
      </c>
      <c r="C320" t="s">
        <v>1</v>
      </c>
      <c r="D320" t="s">
        <v>8</v>
      </c>
      <c r="E320">
        <v>14</v>
      </c>
      <c r="F320" s="5">
        <v>280813</v>
      </c>
      <c r="G320">
        <v>1059</v>
      </c>
      <c r="H320" t="s">
        <v>10</v>
      </c>
      <c r="I320" s="5">
        <f t="shared" si="13"/>
        <v>3931382</v>
      </c>
      <c r="J320">
        <f t="shared" si="14"/>
        <v>6</v>
      </c>
      <c r="K320">
        <f t="shared" si="12"/>
        <v>2024</v>
      </c>
    </row>
    <row r="321" spans="1:11" x14ac:dyDescent="0.25">
      <c r="A321">
        <v>409</v>
      </c>
      <c r="B321" s="3">
        <v>45617</v>
      </c>
      <c r="C321" t="s">
        <v>6</v>
      </c>
      <c r="D321" t="s">
        <v>8</v>
      </c>
      <c r="E321">
        <v>8</v>
      </c>
      <c r="F321" s="5">
        <v>251958</v>
      </c>
      <c r="G321">
        <v>1087</v>
      </c>
      <c r="H321" t="s">
        <v>10</v>
      </c>
      <c r="I321" s="5">
        <f t="shared" si="13"/>
        <v>2015664</v>
      </c>
      <c r="J321">
        <f t="shared" si="14"/>
        <v>11</v>
      </c>
      <c r="K321">
        <f t="shared" si="12"/>
        <v>2024</v>
      </c>
    </row>
    <row r="322" spans="1:11" x14ac:dyDescent="0.25">
      <c r="A322">
        <v>410</v>
      </c>
      <c r="B322" s="3">
        <v>45562</v>
      </c>
      <c r="C322" t="s">
        <v>6</v>
      </c>
      <c r="D322" t="s">
        <v>8</v>
      </c>
      <c r="E322">
        <v>5</v>
      </c>
      <c r="F322" s="5">
        <v>53320</v>
      </c>
      <c r="G322">
        <v>1044</v>
      </c>
      <c r="H322" t="s">
        <v>12</v>
      </c>
      <c r="I322" s="5">
        <f t="shared" si="13"/>
        <v>266600</v>
      </c>
      <c r="J322">
        <f t="shared" si="14"/>
        <v>9</v>
      </c>
      <c r="K322">
        <f t="shared" si="12"/>
        <v>2024</v>
      </c>
    </row>
    <row r="323" spans="1:11" x14ac:dyDescent="0.25">
      <c r="A323">
        <v>411</v>
      </c>
      <c r="B323" s="3">
        <v>45345</v>
      </c>
      <c r="C323" t="s">
        <v>7</v>
      </c>
      <c r="D323" t="s">
        <v>9</v>
      </c>
      <c r="E323">
        <v>7</v>
      </c>
      <c r="F323" s="5">
        <v>151649</v>
      </c>
      <c r="G323">
        <v>1082</v>
      </c>
      <c r="H323" t="s">
        <v>12</v>
      </c>
      <c r="I323" s="5">
        <f t="shared" si="13"/>
        <v>1061543</v>
      </c>
      <c r="J323">
        <f t="shared" si="14"/>
        <v>2</v>
      </c>
      <c r="K323">
        <f t="shared" ref="K323:K386" si="15">YEAR(B323)</f>
        <v>2024</v>
      </c>
    </row>
    <row r="324" spans="1:11" x14ac:dyDescent="0.25">
      <c r="A324">
        <v>412</v>
      </c>
      <c r="B324" s="3">
        <v>45392</v>
      </c>
      <c r="C324" t="s">
        <v>2</v>
      </c>
      <c r="D324" t="s">
        <v>8</v>
      </c>
      <c r="E324">
        <v>4</v>
      </c>
      <c r="F324" s="5">
        <v>130354</v>
      </c>
      <c r="G324">
        <v>1068</v>
      </c>
      <c r="H324" t="s">
        <v>12</v>
      </c>
      <c r="I324" s="5">
        <f t="shared" ref="I324:I387" si="16">E324*F324</f>
        <v>521416</v>
      </c>
      <c r="J324">
        <f t="shared" ref="J324:J387" si="17">MONTH(B324)</f>
        <v>4</v>
      </c>
      <c r="K324">
        <f t="shared" si="15"/>
        <v>2024</v>
      </c>
    </row>
    <row r="325" spans="1:11" x14ac:dyDescent="0.25">
      <c r="A325">
        <v>415</v>
      </c>
      <c r="B325" s="3">
        <v>45351</v>
      </c>
      <c r="C325" t="s">
        <v>1</v>
      </c>
      <c r="D325" t="s">
        <v>8</v>
      </c>
      <c r="E325">
        <v>2</v>
      </c>
      <c r="F325" s="5">
        <v>33625</v>
      </c>
      <c r="G325">
        <v>1064</v>
      </c>
      <c r="H325" t="s">
        <v>11</v>
      </c>
      <c r="I325" s="5">
        <f t="shared" si="16"/>
        <v>67250</v>
      </c>
      <c r="J325">
        <f t="shared" si="17"/>
        <v>2</v>
      </c>
      <c r="K325">
        <f t="shared" si="15"/>
        <v>2024</v>
      </c>
    </row>
    <row r="326" spans="1:11" x14ac:dyDescent="0.25">
      <c r="A326">
        <v>416</v>
      </c>
      <c r="B326" s="3">
        <v>45399</v>
      </c>
      <c r="C326" t="s">
        <v>7</v>
      </c>
      <c r="D326" t="s">
        <v>9</v>
      </c>
      <c r="E326">
        <v>9</v>
      </c>
      <c r="F326" s="5">
        <v>217112</v>
      </c>
      <c r="G326">
        <v>1086</v>
      </c>
      <c r="H326" t="s">
        <v>12</v>
      </c>
      <c r="I326" s="5">
        <f t="shared" si="16"/>
        <v>1954008</v>
      </c>
      <c r="J326">
        <f t="shared" si="17"/>
        <v>4</v>
      </c>
      <c r="K326">
        <f t="shared" si="15"/>
        <v>2024</v>
      </c>
    </row>
    <row r="327" spans="1:11" x14ac:dyDescent="0.25">
      <c r="A327">
        <v>417</v>
      </c>
      <c r="B327" s="3">
        <v>45296</v>
      </c>
      <c r="C327" t="s">
        <v>0</v>
      </c>
      <c r="D327" t="s">
        <v>8</v>
      </c>
      <c r="E327">
        <v>9</v>
      </c>
      <c r="F327" s="5">
        <v>291233</v>
      </c>
      <c r="G327">
        <v>1007</v>
      </c>
      <c r="H327" t="s">
        <v>11</v>
      </c>
      <c r="I327" s="5">
        <f t="shared" si="16"/>
        <v>2621097</v>
      </c>
      <c r="J327">
        <f t="shared" si="17"/>
        <v>1</v>
      </c>
      <c r="K327">
        <f t="shared" si="15"/>
        <v>2024</v>
      </c>
    </row>
    <row r="328" spans="1:11" x14ac:dyDescent="0.25">
      <c r="A328">
        <v>418</v>
      </c>
      <c r="B328" s="3">
        <v>45394</v>
      </c>
      <c r="C328" t="s">
        <v>4</v>
      </c>
      <c r="D328" t="s">
        <v>8</v>
      </c>
      <c r="E328">
        <v>3</v>
      </c>
      <c r="F328" s="5">
        <v>41487</v>
      </c>
      <c r="G328">
        <v>1076</v>
      </c>
      <c r="H328" t="s">
        <v>11</v>
      </c>
      <c r="I328" s="5">
        <f t="shared" si="16"/>
        <v>124461</v>
      </c>
      <c r="J328">
        <f t="shared" si="17"/>
        <v>4</v>
      </c>
      <c r="K328">
        <f t="shared" si="15"/>
        <v>2024</v>
      </c>
    </row>
    <row r="329" spans="1:11" x14ac:dyDescent="0.25">
      <c r="A329">
        <v>420</v>
      </c>
      <c r="B329" s="3">
        <v>45553</v>
      </c>
      <c r="C329" t="s">
        <v>7</v>
      </c>
      <c r="D329" t="s">
        <v>9</v>
      </c>
      <c r="E329">
        <v>9</v>
      </c>
      <c r="F329" s="5">
        <v>178895</v>
      </c>
      <c r="G329">
        <v>1086</v>
      </c>
      <c r="H329" t="s">
        <v>10</v>
      </c>
      <c r="I329" s="5">
        <f t="shared" si="16"/>
        <v>1610055</v>
      </c>
      <c r="J329">
        <f t="shared" si="17"/>
        <v>9</v>
      </c>
      <c r="K329">
        <f t="shared" si="15"/>
        <v>2024</v>
      </c>
    </row>
    <row r="330" spans="1:11" x14ac:dyDescent="0.25">
      <c r="A330">
        <v>421</v>
      </c>
      <c r="B330" s="3">
        <v>45656</v>
      </c>
      <c r="C330" t="s">
        <v>2</v>
      </c>
      <c r="D330" t="s">
        <v>8</v>
      </c>
      <c r="E330">
        <v>2</v>
      </c>
      <c r="F330" s="5">
        <v>106376</v>
      </c>
      <c r="G330">
        <v>1042</v>
      </c>
      <c r="H330" t="s">
        <v>10</v>
      </c>
      <c r="I330" s="5">
        <f t="shared" si="16"/>
        <v>212752</v>
      </c>
      <c r="J330">
        <f t="shared" si="17"/>
        <v>12</v>
      </c>
      <c r="K330">
        <f t="shared" si="15"/>
        <v>2024</v>
      </c>
    </row>
    <row r="331" spans="1:11" x14ac:dyDescent="0.25">
      <c r="A331">
        <v>422</v>
      </c>
      <c r="B331" s="3">
        <v>45641</v>
      </c>
      <c r="C331" t="s">
        <v>2</v>
      </c>
      <c r="D331" t="s">
        <v>8</v>
      </c>
      <c r="E331">
        <v>9</v>
      </c>
      <c r="F331" s="5">
        <v>248341</v>
      </c>
      <c r="G331">
        <v>1000</v>
      </c>
      <c r="H331" t="s">
        <v>10</v>
      </c>
      <c r="I331" s="5">
        <f t="shared" si="16"/>
        <v>2235069</v>
      </c>
      <c r="J331">
        <f t="shared" si="17"/>
        <v>12</v>
      </c>
      <c r="K331">
        <f t="shared" si="15"/>
        <v>2024</v>
      </c>
    </row>
    <row r="332" spans="1:11" x14ac:dyDescent="0.25">
      <c r="A332">
        <v>423</v>
      </c>
      <c r="B332" s="3">
        <v>45338</v>
      </c>
      <c r="C332" t="s">
        <v>2</v>
      </c>
      <c r="D332" t="s">
        <v>8</v>
      </c>
      <c r="E332">
        <v>14</v>
      </c>
      <c r="F332" s="5">
        <v>286652</v>
      </c>
      <c r="G332">
        <v>1050</v>
      </c>
      <c r="H332" t="s">
        <v>11</v>
      </c>
      <c r="I332" s="5">
        <f t="shared" si="16"/>
        <v>4013128</v>
      </c>
      <c r="J332">
        <f t="shared" si="17"/>
        <v>2</v>
      </c>
      <c r="K332">
        <f t="shared" si="15"/>
        <v>2024</v>
      </c>
    </row>
    <row r="333" spans="1:11" x14ac:dyDescent="0.25">
      <c r="A333">
        <v>424</v>
      </c>
      <c r="B333" s="3">
        <v>45646</v>
      </c>
      <c r="C333" t="s">
        <v>7</v>
      </c>
      <c r="D333" t="s">
        <v>9</v>
      </c>
      <c r="E333">
        <v>14</v>
      </c>
      <c r="F333" s="5">
        <v>163056</v>
      </c>
      <c r="G333">
        <v>1023</v>
      </c>
      <c r="H333" t="s">
        <v>12</v>
      </c>
      <c r="I333" s="5">
        <f t="shared" si="16"/>
        <v>2282784</v>
      </c>
      <c r="J333">
        <f t="shared" si="17"/>
        <v>12</v>
      </c>
      <c r="K333">
        <f t="shared" si="15"/>
        <v>2024</v>
      </c>
    </row>
    <row r="334" spans="1:11" x14ac:dyDescent="0.25">
      <c r="A334">
        <v>425</v>
      </c>
      <c r="B334" s="3">
        <v>45602</v>
      </c>
      <c r="C334" t="s">
        <v>1</v>
      </c>
      <c r="D334" t="s">
        <v>8</v>
      </c>
      <c r="E334">
        <v>7</v>
      </c>
      <c r="F334" s="5">
        <v>115169</v>
      </c>
      <c r="G334">
        <v>1098</v>
      </c>
      <c r="H334" t="s">
        <v>11</v>
      </c>
      <c r="I334" s="5">
        <f t="shared" si="16"/>
        <v>806183</v>
      </c>
      <c r="J334">
        <f t="shared" si="17"/>
        <v>11</v>
      </c>
      <c r="K334">
        <f t="shared" si="15"/>
        <v>2024</v>
      </c>
    </row>
    <row r="335" spans="1:11" x14ac:dyDescent="0.25">
      <c r="A335">
        <v>426</v>
      </c>
      <c r="B335" s="3">
        <v>45599</v>
      </c>
      <c r="C335" t="s">
        <v>5</v>
      </c>
      <c r="D335" t="s">
        <v>8</v>
      </c>
      <c r="E335">
        <v>14</v>
      </c>
      <c r="F335" s="5">
        <v>275269</v>
      </c>
      <c r="G335">
        <v>1023</v>
      </c>
      <c r="H335" t="s">
        <v>11</v>
      </c>
      <c r="I335" s="5">
        <f t="shared" si="16"/>
        <v>3853766</v>
      </c>
      <c r="J335">
        <f t="shared" si="17"/>
        <v>11</v>
      </c>
      <c r="K335">
        <f t="shared" si="15"/>
        <v>2024</v>
      </c>
    </row>
    <row r="336" spans="1:11" x14ac:dyDescent="0.25">
      <c r="A336">
        <v>427</v>
      </c>
      <c r="B336" s="3">
        <v>45435</v>
      </c>
      <c r="C336" t="s">
        <v>5</v>
      </c>
      <c r="D336" t="s">
        <v>8</v>
      </c>
      <c r="E336">
        <v>12</v>
      </c>
      <c r="F336" s="5">
        <v>41059</v>
      </c>
      <c r="G336">
        <v>1016</v>
      </c>
      <c r="H336" t="s">
        <v>11</v>
      </c>
      <c r="I336" s="5">
        <f t="shared" si="16"/>
        <v>492708</v>
      </c>
      <c r="J336">
        <f t="shared" si="17"/>
        <v>5</v>
      </c>
      <c r="K336">
        <f t="shared" si="15"/>
        <v>2024</v>
      </c>
    </row>
    <row r="337" spans="1:11" x14ac:dyDescent="0.25">
      <c r="A337">
        <v>428</v>
      </c>
      <c r="B337" s="3">
        <v>45560</v>
      </c>
      <c r="C337" t="s">
        <v>1</v>
      </c>
      <c r="D337" t="s">
        <v>8</v>
      </c>
      <c r="E337">
        <v>9</v>
      </c>
      <c r="F337" s="5">
        <v>108409</v>
      </c>
      <c r="G337">
        <v>1004</v>
      </c>
      <c r="H337" t="s">
        <v>10</v>
      </c>
      <c r="I337" s="5">
        <f t="shared" si="16"/>
        <v>975681</v>
      </c>
      <c r="J337">
        <f t="shared" si="17"/>
        <v>9</v>
      </c>
      <c r="K337">
        <f t="shared" si="15"/>
        <v>2024</v>
      </c>
    </row>
    <row r="338" spans="1:11" x14ac:dyDescent="0.25">
      <c r="A338">
        <v>429</v>
      </c>
      <c r="B338" s="3">
        <v>45415</v>
      </c>
      <c r="C338" t="s">
        <v>2</v>
      </c>
      <c r="D338" t="s">
        <v>8</v>
      </c>
      <c r="E338">
        <v>13</v>
      </c>
      <c r="F338" s="5">
        <v>10704</v>
      </c>
      <c r="G338">
        <v>1019</v>
      </c>
      <c r="H338" t="s">
        <v>10</v>
      </c>
      <c r="I338" s="5">
        <f t="shared" si="16"/>
        <v>139152</v>
      </c>
      <c r="J338">
        <f t="shared" si="17"/>
        <v>5</v>
      </c>
      <c r="K338">
        <f t="shared" si="15"/>
        <v>2024</v>
      </c>
    </row>
    <row r="339" spans="1:11" x14ac:dyDescent="0.25">
      <c r="A339">
        <v>430</v>
      </c>
      <c r="B339" s="3">
        <v>45397</v>
      </c>
      <c r="C339" t="s">
        <v>4</v>
      </c>
      <c r="D339" t="s">
        <v>8</v>
      </c>
      <c r="E339">
        <v>5</v>
      </c>
      <c r="F339" s="5">
        <v>209456</v>
      </c>
      <c r="G339">
        <v>1020</v>
      </c>
      <c r="H339" t="s">
        <v>10</v>
      </c>
      <c r="I339" s="5">
        <f t="shared" si="16"/>
        <v>1047280</v>
      </c>
      <c r="J339">
        <f t="shared" si="17"/>
        <v>4</v>
      </c>
      <c r="K339">
        <f t="shared" si="15"/>
        <v>2024</v>
      </c>
    </row>
    <row r="340" spans="1:11" x14ac:dyDescent="0.25">
      <c r="A340">
        <v>431</v>
      </c>
      <c r="B340" s="3">
        <v>45449</v>
      </c>
      <c r="C340" t="s">
        <v>3</v>
      </c>
      <c r="D340" t="s">
        <v>8</v>
      </c>
      <c r="E340">
        <v>14</v>
      </c>
      <c r="F340" s="5">
        <v>223200</v>
      </c>
      <c r="G340">
        <v>1057</v>
      </c>
      <c r="H340" t="s">
        <v>12</v>
      </c>
      <c r="I340" s="5">
        <f t="shared" si="16"/>
        <v>3124800</v>
      </c>
      <c r="J340">
        <f t="shared" si="17"/>
        <v>6</v>
      </c>
      <c r="K340">
        <f t="shared" si="15"/>
        <v>2024</v>
      </c>
    </row>
    <row r="341" spans="1:11" x14ac:dyDescent="0.25">
      <c r="A341">
        <v>432</v>
      </c>
      <c r="B341" s="3">
        <v>45438</v>
      </c>
      <c r="C341" t="s">
        <v>7</v>
      </c>
      <c r="D341" t="s">
        <v>9</v>
      </c>
      <c r="E341">
        <v>2</v>
      </c>
      <c r="F341" s="5">
        <v>116279</v>
      </c>
      <c r="G341">
        <v>1030</v>
      </c>
      <c r="H341" t="s">
        <v>11</v>
      </c>
      <c r="I341" s="5">
        <f t="shared" si="16"/>
        <v>232558</v>
      </c>
      <c r="J341">
        <f t="shared" si="17"/>
        <v>5</v>
      </c>
      <c r="K341">
        <f t="shared" si="15"/>
        <v>2024</v>
      </c>
    </row>
    <row r="342" spans="1:11" x14ac:dyDescent="0.25">
      <c r="A342">
        <v>433</v>
      </c>
      <c r="B342" s="3">
        <v>45436</v>
      </c>
      <c r="C342" t="s">
        <v>3</v>
      </c>
      <c r="D342" t="s">
        <v>8</v>
      </c>
      <c r="E342">
        <v>13</v>
      </c>
      <c r="F342" s="5">
        <v>163280</v>
      </c>
      <c r="G342">
        <v>1099</v>
      </c>
      <c r="H342" t="s">
        <v>12</v>
      </c>
      <c r="I342" s="5">
        <f t="shared" si="16"/>
        <v>2122640</v>
      </c>
      <c r="J342">
        <f t="shared" si="17"/>
        <v>5</v>
      </c>
      <c r="K342">
        <f t="shared" si="15"/>
        <v>2024</v>
      </c>
    </row>
    <row r="343" spans="1:11" x14ac:dyDescent="0.25">
      <c r="A343">
        <v>434</v>
      </c>
      <c r="B343" s="3">
        <v>45411</v>
      </c>
      <c r="C343" t="s">
        <v>0</v>
      </c>
      <c r="D343" t="s">
        <v>8</v>
      </c>
      <c r="E343">
        <v>3</v>
      </c>
      <c r="F343" s="5">
        <v>123516</v>
      </c>
      <c r="G343">
        <v>1010</v>
      </c>
      <c r="H343" t="s">
        <v>10</v>
      </c>
      <c r="I343" s="5">
        <f t="shared" si="16"/>
        <v>370548</v>
      </c>
      <c r="J343">
        <f t="shared" si="17"/>
        <v>4</v>
      </c>
      <c r="K343">
        <f t="shared" si="15"/>
        <v>2024</v>
      </c>
    </row>
    <row r="344" spans="1:11" x14ac:dyDescent="0.25">
      <c r="A344">
        <v>435</v>
      </c>
      <c r="B344" s="3">
        <v>45610</v>
      </c>
      <c r="C344" t="s">
        <v>1</v>
      </c>
      <c r="D344" t="s">
        <v>8</v>
      </c>
      <c r="E344">
        <v>5</v>
      </c>
      <c r="F344" s="5">
        <v>202096</v>
      </c>
      <c r="G344">
        <v>1051</v>
      </c>
      <c r="H344" t="s">
        <v>12</v>
      </c>
      <c r="I344" s="5">
        <f t="shared" si="16"/>
        <v>1010480</v>
      </c>
      <c r="J344">
        <f t="shared" si="17"/>
        <v>11</v>
      </c>
      <c r="K344">
        <f t="shared" si="15"/>
        <v>2024</v>
      </c>
    </row>
    <row r="345" spans="1:11" x14ac:dyDescent="0.25">
      <c r="A345">
        <v>436</v>
      </c>
      <c r="B345" s="3">
        <v>45566</v>
      </c>
      <c r="C345" t="s">
        <v>4</v>
      </c>
      <c r="D345" t="s">
        <v>8</v>
      </c>
      <c r="E345">
        <v>9</v>
      </c>
      <c r="F345" s="5">
        <v>237549</v>
      </c>
      <c r="G345">
        <v>1014</v>
      </c>
      <c r="H345" t="s">
        <v>11</v>
      </c>
      <c r="I345" s="5">
        <f t="shared" si="16"/>
        <v>2137941</v>
      </c>
      <c r="J345">
        <f t="shared" si="17"/>
        <v>10</v>
      </c>
      <c r="K345">
        <f t="shared" si="15"/>
        <v>2024</v>
      </c>
    </row>
    <row r="346" spans="1:11" x14ac:dyDescent="0.25">
      <c r="A346">
        <v>437</v>
      </c>
      <c r="B346" s="3">
        <v>45383</v>
      </c>
      <c r="C346" t="s">
        <v>7</v>
      </c>
      <c r="D346" t="s">
        <v>9</v>
      </c>
      <c r="E346">
        <v>12</v>
      </c>
      <c r="F346" s="5">
        <v>34165</v>
      </c>
      <c r="G346">
        <v>1082</v>
      </c>
      <c r="H346" t="s">
        <v>11</v>
      </c>
      <c r="I346" s="5">
        <f t="shared" si="16"/>
        <v>409980</v>
      </c>
      <c r="J346">
        <f t="shared" si="17"/>
        <v>4</v>
      </c>
      <c r="K346">
        <f t="shared" si="15"/>
        <v>2024</v>
      </c>
    </row>
    <row r="347" spans="1:11" x14ac:dyDescent="0.25">
      <c r="A347">
        <v>438</v>
      </c>
      <c r="B347" s="3">
        <v>45349</v>
      </c>
      <c r="C347" t="s">
        <v>1</v>
      </c>
      <c r="D347" t="s">
        <v>8</v>
      </c>
      <c r="E347">
        <v>6</v>
      </c>
      <c r="F347" s="5">
        <v>72203</v>
      </c>
      <c r="G347">
        <v>1006</v>
      </c>
      <c r="H347" t="s">
        <v>10</v>
      </c>
      <c r="I347" s="5">
        <f t="shared" si="16"/>
        <v>433218</v>
      </c>
      <c r="J347">
        <f t="shared" si="17"/>
        <v>2</v>
      </c>
      <c r="K347">
        <f t="shared" si="15"/>
        <v>2024</v>
      </c>
    </row>
    <row r="348" spans="1:11" x14ac:dyDescent="0.25">
      <c r="A348">
        <v>439</v>
      </c>
      <c r="B348" s="3">
        <v>45637</v>
      </c>
      <c r="C348" t="s">
        <v>2</v>
      </c>
      <c r="D348" t="s">
        <v>8</v>
      </c>
      <c r="E348">
        <v>10</v>
      </c>
      <c r="F348" s="5">
        <v>271258</v>
      </c>
      <c r="G348">
        <v>1027</v>
      </c>
      <c r="H348" t="s">
        <v>10</v>
      </c>
      <c r="I348" s="5">
        <f t="shared" si="16"/>
        <v>2712580</v>
      </c>
      <c r="J348">
        <f t="shared" si="17"/>
        <v>12</v>
      </c>
      <c r="K348">
        <f t="shared" si="15"/>
        <v>2024</v>
      </c>
    </row>
    <row r="349" spans="1:11" x14ac:dyDescent="0.25">
      <c r="A349">
        <v>440</v>
      </c>
      <c r="B349" s="3">
        <v>45520</v>
      </c>
      <c r="C349" t="s">
        <v>5</v>
      </c>
      <c r="D349" t="s">
        <v>8</v>
      </c>
      <c r="E349">
        <v>12</v>
      </c>
      <c r="F349" s="5">
        <v>41321</v>
      </c>
      <c r="G349">
        <v>1050</v>
      </c>
      <c r="H349" t="s">
        <v>12</v>
      </c>
      <c r="I349" s="5">
        <f t="shared" si="16"/>
        <v>495852</v>
      </c>
      <c r="J349">
        <f t="shared" si="17"/>
        <v>8</v>
      </c>
      <c r="K349">
        <f t="shared" si="15"/>
        <v>2024</v>
      </c>
    </row>
    <row r="350" spans="1:11" x14ac:dyDescent="0.25">
      <c r="A350">
        <v>441</v>
      </c>
      <c r="B350" s="3">
        <v>45408</v>
      </c>
      <c r="C350" t="s">
        <v>3</v>
      </c>
      <c r="D350" t="s">
        <v>8</v>
      </c>
      <c r="E350">
        <v>7</v>
      </c>
      <c r="F350" s="5">
        <v>250014</v>
      </c>
      <c r="G350">
        <v>1057</v>
      </c>
      <c r="H350" t="s">
        <v>10</v>
      </c>
      <c r="I350" s="5">
        <f t="shared" si="16"/>
        <v>1750098</v>
      </c>
      <c r="J350">
        <f t="shared" si="17"/>
        <v>4</v>
      </c>
      <c r="K350">
        <f t="shared" si="15"/>
        <v>2024</v>
      </c>
    </row>
    <row r="351" spans="1:11" x14ac:dyDescent="0.25">
      <c r="A351">
        <v>442</v>
      </c>
      <c r="B351" s="3">
        <v>45609</v>
      </c>
      <c r="C351" t="s">
        <v>6</v>
      </c>
      <c r="D351" t="s">
        <v>8</v>
      </c>
      <c r="E351">
        <v>13</v>
      </c>
      <c r="F351" s="5">
        <v>161498</v>
      </c>
      <c r="G351">
        <v>1004</v>
      </c>
      <c r="H351" t="s">
        <v>10</v>
      </c>
      <c r="I351" s="5">
        <f t="shared" si="16"/>
        <v>2099474</v>
      </c>
      <c r="J351">
        <f t="shared" si="17"/>
        <v>11</v>
      </c>
      <c r="K351">
        <f t="shared" si="15"/>
        <v>2024</v>
      </c>
    </row>
    <row r="352" spans="1:11" x14ac:dyDescent="0.25">
      <c r="A352">
        <v>443</v>
      </c>
      <c r="B352" s="3">
        <v>45570</v>
      </c>
      <c r="C352" t="s">
        <v>6</v>
      </c>
      <c r="D352" t="s">
        <v>8</v>
      </c>
      <c r="E352">
        <v>4</v>
      </c>
      <c r="F352" s="5">
        <v>22772</v>
      </c>
      <c r="G352">
        <v>1004</v>
      </c>
      <c r="H352" t="s">
        <v>11</v>
      </c>
      <c r="I352" s="5">
        <f t="shared" si="16"/>
        <v>91088</v>
      </c>
      <c r="J352">
        <f t="shared" si="17"/>
        <v>10</v>
      </c>
      <c r="K352">
        <f t="shared" si="15"/>
        <v>2024</v>
      </c>
    </row>
    <row r="353" spans="1:11" x14ac:dyDescent="0.25">
      <c r="A353">
        <v>444</v>
      </c>
      <c r="B353" s="3">
        <v>45418</v>
      </c>
      <c r="C353" t="s">
        <v>4</v>
      </c>
      <c r="D353" t="s">
        <v>8</v>
      </c>
      <c r="E353">
        <v>14</v>
      </c>
      <c r="F353" s="5">
        <v>270856</v>
      </c>
      <c r="G353">
        <v>1093</v>
      </c>
      <c r="H353" t="s">
        <v>10</v>
      </c>
      <c r="I353" s="5">
        <f t="shared" si="16"/>
        <v>3791984</v>
      </c>
      <c r="J353">
        <f t="shared" si="17"/>
        <v>5</v>
      </c>
      <c r="K353">
        <f t="shared" si="15"/>
        <v>2024</v>
      </c>
    </row>
    <row r="354" spans="1:11" x14ac:dyDescent="0.25">
      <c r="A354">
        <v>445</v>
      </c>
      <c r="B354" s="3">
        <v>45420</v>
      </c>
      <c r="C354" t="s">
        <v>2</v>
      </c>
      <c r="D354" t="s">
        <v>8</v>
      </c>
      <c r="E354">
        <v>4</v>
      </c>
      <c r="F354" s="5">
        <v>243389</v>
      </c>
      <c r="G354">
        <v>1095</v>
      </c>
      <c r="H354" t="s">
        <v>10</v>
      </c>
      <c r="I354" s="5">
        <f t="shared" si="16"/>
        <v>973556</v>
      </c>
      <c r="J354">
        <f t="shared" si="17"/>
        <v>5</v>
      </c>
      <c r="K354">
        <f t="shared" si="15"/>
        <v>2024</v>
      </c>
    </row>
    <row r="355" spans="1:11" x14ac:dyDescent="0.25">
      <c r="A355">
        <v>446</v>
      </c>
      <c r="B355" s="3">
        <v>45349</v>
      </c>
      <c r="C355" t="s">
        <v>0</v>
      </c>
      <c r="D355" t="s">
        <v>8</v>
      </c>
      <c r="E355">
        <v>11</v>
      </c>
      <c r="F355" s="5">
        <v>120142</v>
      </c>
      <c r="G355">
        <v>1007</v>
      </c>
      <c r="H355" t="s">
        <v>11</v>
      </c>
      <c r="I355" s="5">
        <f t="shared" si="16"/>
        <v>1321562</v>
      </c>
      <c r="J355">
        <f t="shared" si="17"/>
        <v>2</v>
      </c>
      <c r="K355">
        <f t="shared" si="15"/>
        <v>2024</v>
      </c>
    </row>
    <row r="356" spans="1:11" x14ac:dyDescent="0.25">
      <c r="A356">
        <v>447</v>
      </c>
      <c r="B356" s="3">
        <v>45413</v>
      </c>
      <c r="C356" t="s">
        <v>3</v>
      </c>
      <c r="D356" t="s">
        <v>8</v>
      </c>
      <c r="E356">
        <v>12</v>
      </c>
      <c r="F356" s="5">
        <v>96736</v>
      </c>
      <c r="G356">
        <v>1063</v>
      </c>
      <c r="H356" t="s">
        <v>11</v>
      </c>
      <c r="I356" s="5">
        <f t="shared" si="16"/>
        <v>1160832</v>
      </c>
      <c r="J356">
        <f t="shared" si="17"/>
        <v>5</v>
      </c>
      <c r="K356">
        <f t="shared" si="15"/>
        <v>2024</v>
      </c>
    </row>
    <row r="357" spans="1:11" x14ac:dyDescent="0.25">
      <c r="A357">
        <v>448</v>
      </c>
      <c r="B357" s="3">
        <v>45292</v>
      </c>
      <c r="C357" t="s">
        <v>2</v>
      </c>
      <c r="D357" t="s">
        <v>8</v>
      </c>
      <c r="E357">
        <v>4</v>
      </c>
      <c r="F357" s="5">
        <v>56924</v>
      </c>
      <c r="G357">
        <v>1009</v>
      </c>
      <c r="H357" t="s">
        <v>12</v>
      </c>
      <c r="I357" s="5">
        <f t="shared" si="16"/>
        <v>227696</v>
      </c>
      <c r="J357">
        <f t="shared" si="17"/>
        <v>1</v>
      </c>
      <c r="K357">
        <f t="shared" si="15"/>
        <v>2024</v>
      </c>
    </row>
    <row r="358" spans="1:11" x14ac:dyDescent="0.25">
      <c r="A358">
        <v>449</v>
      </c>
      <c r="B358" s="3">
        <v>45530</v>
      </c>
      <c r="C358" t="s">
        <v>3</v>
      </c>
      <c r="D358" t="s">
        <v>8</v>
      </c>
      <c r="E358">
        <v>6</v>
      </c>
      <c r="F358" s="5">
        <v>8726</v>
      </c>
      <c r="G358">
        <v>1037</v>
      </c>
      <c r="H358" t="s">
        <v>10</v>
      </c>
      <c r="I358" s="5">
        <f t="shared" si="16"/>
        <v>52356</v>
      </c>
      <c r="J358">
        <f t="shared" si="17"/>
        <v>8</v>
      </c>
      <c r="K358">
        <f t="shared" si="15"/>
        <v>2024</v>
      </c>
    </row>
    <row r="359" spans="1:11" x14ac:dyDescent="0.25">
      <c r="A359">
        <v>450</v>
      </c>
      <c r="B359" s="3">
        <v>45581</v>
      </c>
      <c r="C359" t="s">
        <v>4</v>
      </c>
      <c r="D359" t="s">
        <v>8</v>
      </c>
      <c r="E359">
        <v>13</v>
      </c>
      <c r="F359" s="5">
        <v>32723</v>
      </c>
      <c r="G359">
        <v>1095</v>
      </c>
      <c r="H359" t="s">
        <v>11</v>
      </c>
      <c r="I359" s="5">
        <f t="shared" si="16"/>
        <v>425399</v>
      </c>
      <c r="J359">
        <f t="shared" si="17"/>
        <v>10</v>
      </c>
      <c r="K359">
        <f t="shared" si="15"/>
        <v>2024</v>
      </c>
    </row>
    <row r="360" spans="1:11" x14ac:dyDescent="0.25">
      <c r="A360">
        <v>451</v>
      </c>
      <c r="B360" s="3">
        <v>45387</v>
      </c>
      <c r="C360" t="s">
        <v>4</v>
      </c>
      <c r="D360" t="s">
        <v>8</v>
      </c>
      <c r="E360">
        <v>5</v>
      </c>
      <c r="F360" s="5">
        <v>239182</v>
      </c>
      <c r="G360">
        <v>1091</v>
      </c>
      <c r="H360" t="s">
        <v>12</v>
      </c>
      <c r="I360" s="5">
        <f t="shared" si="16"/>
        <v>1195910</v>
      </c>
      <c r="J360">
        <f t="shared" si="17"/>
        <v>4</v>
      </c>
      <c r="K360">
        <f t="shared" si="15"/>
        <v>2024</v>
      </c>
    </row>
    <row r="361" spans="1:11" x14ac:dyDescent="0.25">
      <c r="A361">
        <v>452</v>
      </c>
      <c r="B361" s="3">
        <v>45417</v>
      </c>
      <c r="C361" t="s">
        <v>0</v>
      </c>
      <c r="D361" t="s">
        <v>8</v>
      </c>
      <c r="E361">
        <v>4</v>
      </c>
      <c r="F361" s="5">
        <v>145180</v>
      </c>
      <c r="G361">
        <v>1080</v>
      </c>
      <c r="H361" t="s">
        <v>12</v>
      </c>
      <c r="I361" s="5">
        <f t="shared" si="16"/>
        <v>580720</v>
      </c>
      <c r="J361">
        <f t="shared" si="17"/>
        <v>5</v>
      </c>
      <c r="K361">
        <f t="shared" si="15"/>
        <v>2024</v>
      </c>
    </row>
    <row r="362" spans="1:11" x14ac:dyDescent="0.25">
      <c r="A362">
        <v>454</v>
      </c>
      <c r="B362" s="3">
        <v>45339</v>
      </c>
      <c r="C362" t="s">
        <v>2</v>
      </c>
      <c r="D362" t="s">
        <v>8</v>
      </c>
      <c r="E362">
        <v>7</v>
      </c>
      <c r="F362" s="5">
        <v>40643</v>
      </c>
      <c r="G362">
        <v>1007</v>
      </c>
      <c r="H362" t="s">
        <v>10</v>
      </c>
      <c r="I362" s="5">
        <f t="shared" si="16"/>
        <v>284501</v>
      </c>
      <c r="J362">
        <f t="shared" si="17"/>
        <v>2</v>
      </c>
      <c r="K362">
        <f t="shared" si="15"/>
        <v>2024</v>
      </c>
    </row>
    <row r="363" spans="1:11" x14ac:dyDescent="0.25">
      <c r="A363">
        <v>455</v>
      </c>
      <c r="B363" s="3">
        <v>45380</v>
      </c>
      <c r="C363" t="s">
        <v>7</v>
      </c>
      <c r="D363" t="s">
        <v>9</v>
      </c>
      <c r="E363">
        <v>4</v>
      </c>
      <c r="F363" s="5">
        <v>167396</v>
      </c>
      <c r="G363">
        <v>1024</v>
      </c>
      <c r="H363" t="s">
        <v>12</v>
      </c>
      <c r="I363" s="5">
        <f t="shared" si="16"/>
        <v>669584</v>
      </c>
      <c r="J363">
        <f t="shared" si="17"/>
        <v>3</v>
      </c>
      <c r="K363">
        <f t="shared" si="15"/>
        <v>2024</v>
      </c>
    </row>
    <row r="364" spans="1:11" x14ac:dyDescent="0.25">
      <c r="A364">
        <v>456</v>
      </c>
      <c r="B364" s="3">
        <v>45528</v>
      </c>
      <c r="C364" t="s">
        <v>6</v>
      </c>
      <c r="D364" t="s">
        <v>8</v>
      </c>
      <c r="E364">
        <v>14</v>
      </c>
      <c r="F364" s="5">
        <v>219432</v>
      </c>
      <c r="G364">
        <v>1072</v>
      </c>
      <c r="H364" t="s">
        <v>11</v>
      </c>
      <c r="I364" s="5">
        <f t="shared" si="16"/>
        <v>3072048</v>
      </c>
      <c r="J364">
        <f t="shared" si="17"/>
        <v>8</v>
      </c>
      <c r="K364">
        <f t="shared" si="15"/>
        <v>2024</v>
      </c>
    </row>
    <row r="365" spans="1:11" x14ac:dyDescent="0.25">
      <c r="A365">
        <v>457</v>
      </c>
      <c r="B365" s="3">
        <v>45563</v>
      </c>
      <c r="C365" t="s">
        <v>2</v>
      </c>
      <c r="D365" t="s">
        <v>8</v>
      </c>
      <c r="E365">
        <v>11</v>
      </c>
      <c r="F365" s="5">
        <v>144999</v>
      </c>
      <c r="G365">
        <v>1065</v>
      </c>
      <c r="H365" t="s">
        <v>12</v>
      </c>
      <c r="I365" s="5">
        <f t="shared" si="16"/>
        <v>1594989</v>
      </c>
      <c r="J365">
        <f t="shared" si="17"/>
        <v>9</v>
      </c>
      <c r="K365">
        <f t="shared" si="15"/>
        <v>2024</v>
      </c>
    </row>
    <row r="366" spans="1:11" x14ac:dyDescent="0.25">
      <c r="A366">
        <v>459</v>
      </c>
      <c r="B366" s="3">
        <v>45483</v>
      </c>
      <c r="C366" t="s">
        <v>7</v>
      </c>
      <c r="D366" t="s">
        <v>9</v>
      </c>
      <c r="E366">
        <v>9</v>
      </c>
      <c r="F366" s="5">
        <v>114834</v>
      </c>
      <c r="G366">
        <v>1049</v>
      </c>
      <c r="H366" t="s">
        <v>11</v>
      </c>
      <c r="I366" s="5">
        <f t="shared" si="16"/>
        <v>1033506</v>
      </c>
      <c r="J366">
        <f t="shared" si="17"/>
        <v>7</v>
      </c>
      <c r="K366">
        <f t="shared" si="15"/>
        <v>2024</v>
      </c>
    </row>
    <row r="367" spans="1:11" x14ac:dyDescent="0.25">
      <c r="A367">
        <v>460</v>
      </c>
      <c r="B367" s="3">
        <v>45360</v>
      </c>
      <c r="C367" t="s">
        <v>5</v>
      </c>
      <c r="D367" t="s">
        <v>8</v>
      </c>
      <c r="E367">
        <v>10</v>
      </c>
      <c r="F367" s="5">
        <v>241386</v>
      </c>
      <c r="G367">
        <v>1066</v>
      </c>
      <c r="H367" t="s">
        <v>11</v>
      </c>
      <c r="I367" s="5">
        <f t="shared" si="16"/>
        <v>2413860</v>
      </c>
      <c r="J367">
        <f t="shared" si="17"/>
        <v>3</v>
      </c>
      <c r="K367">
        <f t="shared" si="15"/>
        <v>2024</v>
      </c>
    </row>
    <row r="368" spans="1:11" x14ac:dyDescent="0.25">
      <c r="A368">
        <v>463</v>
      </c>
      <c r="B368" s="3">
        <v>45538</v>
      </c>
      <c r="C368" t="s">
        <v>5</v>
      </c>
      <c r="D368" t="s">
        <v>8</v>
      </c>
      <c r="E368">
        <v>2</v>
      </c>
      <c r="F368" s="5">
        <v>27612</v>
      </c>
      <c r="G368">
        <v>1067</v>
      </c>
      <c r="H368" t="s">
        <v>12</v>
      </c>
      <c r="I368" s="5">
        <f t="shared" si="16"/>
        <v>55224</v>
      </c>
      <c r="J368">
        <f t="shared" si="17"/>
        <v>9</v>
      </c>
      <c r="K368">
        <f t="shared" si="15"/>
        <v>2024</v>
      </c>
    </row>
    <row r="369" spans="1:11" x14ac:dyDescent="0.25">
      <c r="A369">
        <v>464</v>
      </c>
      <c r="B369" s="3">
        <v>45367</v>
      </c>
      <c r="C369" t="s">
        <v>5</v>
      </c>
      <c r="D369" t="s">
        <v>8</v>
      </c>
      <c r="E369">
        <v>8</v>
      </c>
      <c r="F369" s="5">
        <v>230049</v>
      </c>
      <c r="G369">
        <v>1077</v>
      </c>
      <c r="H369" t="s">
        <v>12</v>
      </c>
      <c r="I369" s="5">
        <f t="shared" si="16"/>
        <v>1840392</v>
      </c>
      <c r="J369">
        <f t="shared" si="17"/>
        <v>3</v>
      </c>
      <c r="K369">
        <f t="shared" si="15"/>
        <v>2024</v>
      </c>
    </row>
    <row r="370" spans="1:11" x14ac:dyDescent="0.25">
      <c r="A370">
        <v>465</v>
      </c>
      <c r="B370" s="3">
        <v>45445</v>
      </c>
      <c r="C370" t="s">
        <v>1</v>
      </c>
      <c r="D370" t="s">
        <v>8</v>
      </c>
      <c r="E370">
        <v>5</v>
      </c>
      <c r="F370" s="5">
        <v>273615</v>
      </c>
      <c r="G370">
        <v>1040</v>
      </c>
      <c r="H370" t="s">
        <v>12</v>
      </c>
      <c r="I370" s="5">
        <f t="shared" si="16"/>
        <v>1368075</v>
      </c>
      <c r="J370">
        <f t="shared" si="17"/>
        <v>6</v>
      </c>
      <c r="K370">
        <f t="shared" si="15"/>
        <v>2024</v>
      </c>
    </row>
    <row r="371" spans="1:11" x14ac:dyDescent="0.25">
      <c r="A371">
        <v>466</v>
      </c>
      <c r="B371" s="3">
        <v>45435</v>
      </c>
      <c r="C371" t="s">
        <v>3</v>
      </c>
      <c r="D371" t="s">
        <v>8</v>
      </c>
      <c r="E371">
        <v>9</v>
      </c>
      <c r="F371" s="5">
        <v>171703</v>
      </c>
      <c r="G371">
        <v>1088</v>
      </c>
      <c r="H371" t="s">
        <v>11</v>
      </c>
      <c r="I371" s="5">
        <f t="shared" si="16"/>
        <v>1545327</v>
      </c>
      <c r="J371">
        <f t="shared" si="17"/>
        <v>5</v>
      </c>
      <c r="K371">
        <f t="shared" si="15"/>
        <v>2024</v>
      </c>
    </row>
    <row r="372" spans="1:11" x14ac:dyDescent="0.25">
      <c r="A372">
        <v>467</v>
      </c>
      <c r="B372" s="3">
        <v>45377</v>
      </c>
      <c r="C372" t="s">
        <v>1</v>
      </c>
      <c r="D372" t="s">
        <v>8</v>
      </c>
      <c r="E372">
        <v>4</v>
      </c>
      <c r="F372" s="5">
        <v>245069</v>
      </c>
      <c r="G372">
        <v>1061</v>
      </c>
      <c r="H372" t="s">
        <v>11</v>
      </c>
      <c r="I372" s="5">
        <f t="shared" si="16"/>
        <v>980276</v>
      </c>
      <c r="J372">
        <f t="shared" si="17"/>
        <v>3</v>
      </c>
      <c r="K372">
        <f t="shared" si="15"/>
        <v>2024</v>
      </c>
    </row>
    <row r="373" spans="1:11" x14ac:dyDescent="0.25">
      <c r="A373">
        <v>468</v>
      </c>
      <c r="B373" s="3">
        <v>45476</v>
      </c>
      <c r="C373" t="s">
        <v>1</v>
      </c>
      <c r="D373" t="s">
        <v>8</v>
      </c>
      <c r="E373">
        <v>12</v>
      </c>
      <c r="F373" s="5">
        <v>228131</v>
      </c>
      <c r="G373">
        <v>1009</v>
      </c>
      <c r="H373" t="s">
        <v>10</v>
      </c>
      <c r="I373" s="5">
        <f t="shared" si="16"/>
        <v>2737572</v>
      </c>
      <c r="J373">
        <f t="shared" si="17"/>
        <v>7</v>
      </c>
      <c r="K373">
        <f t="shared" si="15"/>
        <v>2024</v>
      </c>
    </row>
    <row r="374" spans="1:11" x14ac:dyDescent="0.25">
      <c r="A374">
        <v>469</v>
      </c>
      <c r="B374" s="3">
        <v>45576</v>
      </c>
      <c r="C374" t="s">
        <v>0</v>
      </c>
      <c r="D374" t="s">
        <v>8</v>
      </c>
      <c r="E374">
        <v>14</v>
      </c>
      <c r="F374" s="5">
        <v>36348</v>
      </c>
      <c r="G374">
        <v>1020</v>
      </c>
      <c r="H374" t="s">
        <v>10</v>
      </c>
      <c r="I374" s="5">
        <f t="shared" si="16"/>
        <v>508872</v>
      </c>
      <c r="J374">
        <f t="shared" si="17"/>
        <v>10</v>
      </c>
      <c r="K374">
        <f t="shared" si="15"/>
        <v>2024</v>
      </c>
    </row>
    <row r="375" spans="1:11" x14ac:dyDescent="0.25">
      <c r="A375">
        <v>470</v>
      </c>
      <c r="B375" s="3">
        <v>45511</v>
      </c>
      <c r="C375" t="s">
        <v>1</v>
      </c>
      <c r="D375" t="s">
        <v>8</v>
      </c>
      <c r="E375">
        <v>1</v>
      </c>
      <c r="F375" s="5">
        <v>200804</v>
      </c>
      <c r="G375">
        <v>1035</v>
      </c>
      <c r="H375" t="s">
        <v>12</v>
      </c>
      <c r="I375" s="5">
        <f t="shared" si="16"/>
        <v>200804</v>
      </c>
      <c r="J375">
        <f t="shared" si="17"/>
        <v>8</v>
      </c>
      <c r="K375">
        <f t="shared" si="15"/>
        <v>2024</v>
      </c>
    </row>
    <row r="376" spans="1:11" x14ac:dyDescent="0.25">
      <c r="A376">
        <v>471</v>
      </c>
      <c r="B376" s="3">
        <v>45360</v>
      </c>
      <c r="C376" t="s">
        <v>5</v>
      </c>
      <c r="D376" t="s">
        <v>8</v>
      </c>
      <c r="E376">
        <v>10</v>
      </c>
      <c r="F376" s="5">
        <v>268321</v>
      </c>
      <c r="G376">
        <v>1011</v>
      </c>
      <c r="H376" t="s">
        <v>12</v>
      </c>
      <c r="I376" s="5">
        <f t="shared" si="16"/>
        <v>2683210</v>
      </c>
      <c r="J376">
        <f t="shared" si="17"/>
        <v>3</v>
      </c>
      <c r="K376">
        <f t="shared" si="15"/>
        <v>2024</v>
      </c>
    </row>
    <row r="377" spans="1:11" x14ac:dyDescent="0.25">
      <c r="A377">
        <v>473</v>
      </c>
      <c r="B377" s="3">
        <v>45385</v>
      </c>
      <c r="C377" t="s">
        <v>0</v>
      </c>
      <c r="D377" t="s">
        <v>8</v>
      </c>
      <c r="E377">
        <v>13</v>
      </c>
      <c r="F377" s="5">
        <v>299923</v>
      </c>
      <c r="G377">
        <v>1001</v>
      </c>
      <c r="H377" t="s">
        <v>10</v>
      </c>
      <c r="I377" s="5">
        <f t="shared" si="16"/>
        <v>3898999</v>
      </c>
      <c r="J377">
        <f t="shared" si="17"/>
        <v>4</v>
      </c>
      <c r="K377">
        <f t="shared" si="15"/>
        <v>2024</v>
      </c>
    </row>
    <row r="378" spans="1:11" x14ac:dyDescent="0.25">
      <c r="A378">
        <v>474</v>
      </c>
      <c r="B378" s="3">
        <v>45529</v>
      </c>
      <c r="C378" t="s">
        <v>0</v>
      </c>
      <c r="D378" t="s">
        <v>8</v>
      </c>
      <c r="E378">
        <v>10</v>
      </c>
      <c r="F378" s="5">
        <v>288780</v>
      </c>
      <c r="G378">
        <v>1012</v>
      </c>
      <c r="H378" t="s">
        <v>11</v>
      </c>
      <c r="I378" s="5">
        <f t="shared" si="16"/>
        <v>2887800</v>
      </c>
      <c r="J378">
        <f t="shared" si="17"/>
        <v>8</v>
      </c>
      <c r="K378">
        <f t="shared" si="15"/>
        <v>2024</v>
      </c>
    </row>
    <row r="379" spans="1:11" x14ac:dyDescent="0.25">
      <c r="A379">
        <v>475</v>
      </c>
      <c r="B379" s="3">
        <v>45495</v>
      </c>
      <c r="C379" t="s">
        <v>4</v>
      </c>
      <c r="D379" t="s">
        <v>8</v>
      </c>
      <c r="E379">
        <v>7</v>
      </c>
      <c r="F379" s="5">
        <v>86889</v>
      </c>
      <c r="G379">
        <v>1052</v>
      </c>
      <c r="H379" t="s">
        <v>11</v>
      </c>
      <c r="I379" s="5">
        <f t="shared" si="16"/>
        <v>608223</v>
      </c>
      <c r="J379">
        <f t="shared" si="17"/>
        <v>7</v>
      </c>
      <c r="K379">
        <f t="shared" si="15"/>
        <v>2024</v>
      </c>
    </row>
    <row r="380" spans="1:11" x14ac:dyDescent="0.25">
      <c r="A380">
        <v>476</v>
      </c>
      <c r="B380" s="3">
        <v>45509</v>
      </c>
      <c r="C380" t="s">
        <v>0</v>
      </c>
      <c r="D380" t="s">
        <v>8</v>
      </c>
      <c r="E380">
        <v>9</v>
      </c>
      <c r="F380" s="5">
        <v>58551</v>
      </c>
      <c r="G380">
        <v>1031</v>
      </c>
      <c r="H380" t="s">
        <v>12</v>
      </c>
      <c r="I380" s="5">
        <f t="shared" si="16"/>
        <v>526959</v>
      </c>
      <c r="J380">
        <f t="shared" si="17"/>
        <v>8</v>
      </c>
      <c r="K380">
        <f t="shared" si="15"/>
        <v>2024</v>
      </c>
    </row>
    <row r="381" spans="1:11" x14ac:dyDescent="0.25">
      <c r="A381">
        <v>479</v>
      </c>
      <c r="B381" s="3">
        <v>45391</v>
      </c>
      <c r="C381" t="s">
        <v>3</v>
      </c>
      <c r="D381" t="s">
        <v>8</v>
      </c>
      <c r="E381">
        <v>7</v>
      </c>
      <c r="F381" s="5">
        <v>217781</v>
      </c>
      <c r="G381">
        <v>1031</v>
      </c>
      <c r="H381" t="s">
        <v>12</v>
      </c>
      <c r="I381" s="5">
        <f t="shared" si="16"/>
        <v>1524467</v>
      </c>
      <c r="J381">
        <f t="shared" si="17"/>
        <v>4</v>
      </c>
      <c r="K381">
        <f t="shared" si="15"/>
        <v>2024</v>
      </c>
    </row>
    <row r="382" spans="1:11" x14ac:dyDescent="0.25">
      <c r="A382">
        <v>481</v>
      </c>
      <c r="B382" s="3">
        <v>45545</v>
      </c>
      <c r="C382" t="s">
        <v>0</v>
      </c>
      <c r="D382" t="s">
        <v>8</v>
      </c>
      <c r="E382">
        <v>10</v>
      </c>
      <c r="F382" s="5">
        <v>194420</v>
      </c>
      <c r="G382">
        <v>1097</v>
      </c>
      <c r="H382" t="s">
        <v>11</v>
      </c>
      <c r="I382" s="5">
        <f t="shared" si="16"/>
        <v>1944200</v>
      </c>
      <c r="J382">
        <f t="shared" si="17"/>
        <v>9</v>
      </c>
      <c r="K382">
        <f t="shared" si="15"/>
        <v>2024</v>
      </c>
    </row>
    <row r="383" spans="1:11" x14ac:dyDescent="0.25">
      <c r="A383">
        <v>482</v>
      </c>
      <c r="B383" s="3">
        <v>45513</v>
      </c>
      <c r="C383" t="s">
        <v>5</v>
      </c>
      <c r="D383" t="s">
        <v>8</v>
      </c>
      <c r="E383">
        <v>10</v>
      </c>
      <c r="F383" s="5">
        <v>29596</v>
      </c>
      <c r="G383">
        <v>1010</v>
      </c>
      <c r="H383" t="s">
        <v>12</v>
      </c>
      <c r="I383" s="5">
        <f t="shared" si="16"/>
        <v>295960</v>
      </c>
      <c r="J383">
        <f t="shared" si="17"/>
        <v>8</v>
      </c>
      <c r="K383">
        <f t="shared" si="15"/>
        <v>2024</v>
      </c>
    </row>
    <row r="384" spans="1:11" x14ac:dyDescent="0.25">
      <c r="A384">
        <v>484</v>
      </c>
      <c r="B384" s="3">
        <v>45314</v>
      </c>
      <c r="C384" t="s">
        <v>6</v>
      </c>
      <c r="D384" t="s">
        <v>8</v>
      </c>
      <c r="E384">
        <v>4</v>
      </c>
      <c r="F384" s="5">
        <v>133803</v>
      </c>
      <c r="G384">
        <v>1014</v>
      </c>
      <c r="H384" t="s">
        <v>12</v>
      </c>
      <c r="I384" s="5">
        <f t="shared" si="16"/>
        <v>535212</v>
      </c>
      <c r="J384">
        <f t="shared" si="17"/>
        <v>1</v>
      </c>
      <c r="K384">
        <f t="shared" si="15"/>
        <v>2024</v>
      </c>
    </row>
    <row r="385" spans="1:11" x14ac:dyDescent="0.25">
      <c r="A385">
        <v>485</v>
      </c>
      <c r="B385" s="3">
        <v>45541</v>
      </c>
      <c r="C385" t="s">
        <v>0</v>
      </c>
      <c r="D385" t="s">
        <v>8</v>
      </c>
      <c r="E385">
        <v>11</v>
      </c>
      <c r="F385" s="5">
        <v>144978</v>
      </c>
      <c r="G385">
        <v>1016</v>
      </c>
      <c r="H385" t="s">
        <v>12</v>
      </c>
      <c r="I385" s="5">
        <f t="shared" si="16"/>
        <v>1594758</v>
      </c>
      <c r="J385">
        <f t="shared" si="17"/>
        <v>9</v>
      </c>
      <c r="K385">
        <f t="shared" si="15"/>
        <v>2024</v>
      </c>
    </row>
    <row r="386" spans="1:11" x14ac:dyDescent="0.25">
      <c r="A386">
        <v>486</v>
      </c>
      <c r="B386" s="3">
        <v>45301</v>
      </c>
      <c r="C386" t="s">
        <v>2</v>
      </c>
      <c r="D386" t="s">
        <v>8</v>
      </c>
      <c r="E386">
        <v>14</v>
      </c>
      <c r="F386" s="5">
        <v>50379</v>
      </c>
      <c r="G386">
        <v>1039</v>
      </c>
      <c r="H386" t="s">
        <v>11</v>
      </c>
      <c r="I386" s="5">
        <f t="shared" si="16"/>
        <v>705306</v>
      </c>
      <c r="J386">
        <f t="shared" si="17"/>
        <v>1</v>
      </c>
      <c r="K386">
        <f t="shared" si="15"/>
        <v>2024</v>
      </c>
    </row>
    <row r="387" spans="1:11" x14ac:dyDescent="0.25">
      <c r="A387">
        <v>487</v>
      </c>
      <c r="B387" s="3">
        <v>45537</v>
      </c>
      <c r="C387" t="s">
        <v>6</v>
      </c>
      <c r="D387" t="s">
        <v>8</v>
      </c>
      <c r="E387">
        <v>9</v>
      </c>
      <c r="F387" s="5">
        <v>250900</v>
      </c>
      <c r="G387">
        <v>1017</v>
      </c>
      <c r="H387" t="s">
        <v>12</v>
      </c>
      <c r="I387" s="5">
        <f t="shared" si="16"/>
        <v>2258100</v>
      </c>
      <c r="J387">
        <f t="shared" si="17"/>
        <v>9</v>
      </c>
      <c r="K387">
        <f t="shared" ref="K387:K398" si="18">YEAR(B387)</f>
        <v>2024</v>
      </c>
    </row>
    <row r="388" spans="1:11" x14ac:dyDescent="0.25">
      <c r="A388">
        <v>488</v>
      </c>
      <c r="B388" s="3">
        <v>45616</v>
      </c>
      <c r="C388" t="s">
        <v>2</v>
      </c>
      <c r="D388" t="s">
        <v>8</v>
      </c>
      <c r="E388">
        <v>13</v>
      </c>
      <c r="F388" s="5">
        <v>263517</v>
      </c>
      <c r="G388">
        <v>1054</v>
      </c>
      <c r="H388" t="s">
        <v>11</v>
      </c>
      <c r="I388" s="5">
        <f t="shared" ref="I388:I398" si="19">E388*F388</f>
        <v>3425721</v>
      </c>
      <c r="J388">
        <f t="shared" ref="J388:J398" si="20">MONTH(B388)</f>
        <v>11</v>
      </c>
      <c r="K388">
        <f t="shared" si="18"/>
        <v>2024</v>
      </c>
    </row>
    <row r="389" spans="1:11" x14ac:dyDescent="0.25">
      <c r="A389">
        <v>489</v>
      </c>
      <c r="B389" s="3">
        <v>45391</v>
      </c>
      <c r="C389" t="s">
        <v>5</v>
      </c>
      <c r="D389" t="s">
        <v>8</v>
      </c>
      <c r="E389">
        <v>9</v>
      </c>
      <c r="F389" s="5">
        <v>142084</v>
      </c>
      <c r="G389">
        <v>1072</v>
      </c>
      <c r="H389" t="s">
        <v>11</v>
      </c>
      <c r="I389" s="5">
        <f t="shared" si="19"/>
        <v>1278756</v>
      </c>
      <c r="J389">
        <f t="shared" si="20"/>
        <v>4</v>
      </c>
      <c r="K389">
        <f t="shared" si="18"/>
        <v>2024</v>
      </c>
    </row>
    <row r="390" spans="1:11" x14ac:dyDescent="0.25">
      <c r="A390">
        <v>490</v>
      </c>
      <c r="B390" s="3">
        <v>45581</v>
      </c>
      <c r="C390" t="s">
        <v>5</v>
      </c>
      <c r="D390" t="s">
        <v>8</v>
      </c>
      <c r="E390">
        <v>12</v>
      </c>
      <c r="F390" s="5">
        <v>186187</v>
      </c>
      <c r="G390">
        <v>1024</v>
      </c>
      <c r="H390" t="s">
        <v>11</v>
      </c>
      <c r="I390" s="5">
        <f t="shared" si="19"/>
        <v>2234244</v>
      </c>
      <c r="J390">
        <f t="shared" si="20"/>
        <v>10</v>
      </c>
      <c r="K390">
        <f t="shared" si="18"/>
        <v>2024</v>
      </c>
    </row>
    <row r="391" spans="1:11" x14ac:dyDescent="0.25">
      <c r="A391">
        <v>491</v>
      </c>
      <c r="B391" s="3">
        <v>45471</v>
      </c>
      <c r="C391" t="s">
        <v>6</v>
      </c>
      <c r="D391" t="s">
        <v>8</v>
      </c>
      <c r="E391">
        <v>7</v>
      </c>
      <c r="F391" s="5">
        <v>274295</v>
      </c>
      <c r="G391">
        <v>1058</v>
      </c>
      <c r="H391" t="s">
        <v>10</v>
      </c>
      <c r="I391" s="5">
        <f t="shared" si="19"/>
        <v>1920065</v>
      </c>
      <c r="J391">
        <f t="shared" si="20"/>
        <v>6</v>
      </c>
      <c r="K391">
        <f t="shared" si="18"/>
        <v>2024</v>
      </c>
    </row>
    <row r="392" spans="1:11" x14ac:dyDescent="0.25">
      <c r="A392">
        <v>492</v>
      </c>
      <c r="B392" s="3">
        <v>45514</v>
      </c>
      <c r="C392" t="s">
        <v>6</v>
      </c>
      <c r="D392" t="s">
        <v>8</v>
      </c>
      <c r="E392">
        <v>4</v>
      </c>
      <c r="F392" s="5">
        <v>62716</v>
      </c>
      <c r="G392">
        <v>1077</v>
      </c>
      <c r="H392" t="s">
        <v>10</v>
      </c>
      <c r="I392" s="5">
        <f t="shared" si="19"/>
        <v>250864</v>
      </c>
      <c r="J392">
        <f t="shared" si="20"/>
        <v>8</v>
      </c>
      <c r="K392">
        <f t="shared" si="18"/>
        <v>2024</v>
      </c>
    </row>
    <row r="393" spans="1:11" x14ac:dyDescent="0.25">
      <c r="A393">
        <v>493</v>
      </c>
      <c r="B393" s="3">
        <v>45541</v>
      </c>
      <c r="C393" t="s">
        <v>2</v>
      </c>
      <c r="D393" t="s">
        <v>8</v>
      </c>
      <c r="E393">
        <v>2</v>
      </c>
      <c r="F393" s="5">
        <v>228725</v>
      </c>
      <c r="G393">
        <v>1088</v>
      </c>
      <c r="H393" t="s">
        <v>11</v>
      </c>
      <c r="I393" s="5">
        <f t="shared" si="19"/>
        <v>457450</v>
      </c>
      <c r="J393">
        <f t="shared" si="20"/>
        <v>9</v>
      </c>
      <c r="K393">
        <f t="shared" si="18"/>
        <v>2024</v>
      </c>
    </row>
    <row r="394" spans="1:11" x14ac:dyDescent="0.25">
      <c r="A394">
        <v>495</v>
      </c>
      <c r="B394" s="3">
        <v>45387</v>
      </c>
      <c r="C394" t="s">
        <v>2</v>
      </c>
      <c r="D394" t="s">
        <v>8</v>
      </c>
      <c r="E394">
        <v>14</v>
      </c>
      <c r="F394" s="5">
        <v>178724</v>
      </c>
      <c r="G394">
        <v>1029</v>
      </c>
      <c r="H394" t="s">
        <v>11</v>
      </c>
      <c r="I394" s="5">
        <f t="shared" si="19"/>
        <v>2502136</v>
      </c>
      <c r="J394">
        <f t="shared" si="20"/>
        <v>4</v>
      </c>
      <c r="K394">
        <f t="shared" si="18"/>
        <v>2024</v>
      </c>
    </row>
    <row r="395" spans="1:11" x14ac:dyDescent="0.25">
      <c r="A395">
        <v>497</v>
      </c>
      <c r="B395" s="3">
        <v>45616</v>
      </c>
      <c r="C395" t="s">
        <v>7</v>
      </c>
      <c r="D395" t="s">
        <v>9</v>
      </c>
      <c r="E395">
        <v>10</v>
      </c>
      <c r="F395" s="5">
        <v>149539</v>
      </c>
      <c r="G395">
        <v>1084</v>
      </c>
      <c r="H395" t="s">
        <v>11</v>
      </c>
      <c r="I395" s="5">
        <f t="shared" si="19"/>
        <v>1495390</v>
      </c>
      <c r="J395">
        <f t="shared" si="20"/>
        <v>11</v>
      </c>
      <c r="K395">
        <f t="shared" si="18"/>
        <v>2024</v>
      </c>
    </row>
    <row r="396" spans="1:11" x14ac:dyDescent="0.25">
      <c r="A396">
        <v>498</v>
      </c>
      <c r="B396" s="3">
        <v>45295</v>
      </c>
      <c r="C396" t="s">
        <v>6</v>
      </c>
      <c r="D396" t="s">
        <v>8</v>
      </c>
      <c r="E396">
        <v>11</v>
      </c>
      <c r="F396" s="5">
        <v>126999</v>
      </c>
      <c r="G396">
        <v>1043</v>
      </c>
      <c r="H396" t="s">
        <v>12</v>
      </c>
      <c r="I396" s="5">
        <f t="shared" si="19"/>
        <v>1396989</v>
      </c>
      <c r="J396">
        <f t="shared" si="20"/>
        <v>1</v>
      </c>
      <c r="K396">
        <f t="shared" si="18"/>
        <v>2024</v>
      </c>
    </row>
    <row r="397" spans="1:11" x14ac:dyDescent="0.25">
      <c r="A397">
        <v>499</v>
      </c>
      <c r="B397" s="3">
        <v>45307</v>
      </c>
      <c r="C397" t="s">
        <v>7</v>
      </c>
      <c r="D397" t="s">
        <v>9</v>
      </c>
      <c r="E397">
        <v>1</v>
      </c>
      <c r="F397" s="5">
        <v>119793</v>
      </c>
      <c r="G397">
        <v>1031</v>
      </c>
      <c r="H397" t="s">
        <v>10</v>
      </c>
      <c r="I397" s="5">
        <f t="shared" si="19"/>
        <v>119793</v>
      </c>
      <c r="J397">
        <f t="shared" si="20"/>
        <v>1</v>
      </c>
      <c r="K397">
        <f t="shared" si="18"/>
        <v>2024</v>
      </c>
    </row>
    <row r="398" spans="1:11" x14ac:dyDescent="0.25">
      <c r="A398">
        <v>500</v>
      </c>
      <c r="B398" s="3">
        <v>45571</v>
      </c>
      <c r="C398" t="s">
        <v>3</v>
      </c>
      <c r="D398" t="s">
        <v>8</v>
      </c>
      <c r="E398">
        <v>2</v>
      </c>
      <c r="F398" s="5">
        <v>17289</v>
      </c>
      <c r="G398">
        <v>1050</v>
      </c>
      <c r="H398" t="s">
        <v>12</v>
      </c>
      <c r="I398" s="5">
        <f t="shared" si="19"/>
        <v>34578</v>
      </c>
      <c r="J398">
        <f t="shared" si="20"/>
        <v>10</v>
      </c>
      <c r="K398">
        <f t="shared" si="18"/>
        <v>2024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6122-5099-438E-BAAE-17214E9357A7}">
  <dimension ref="A1:C2"/>
  <sheetViews>
    <sheetView workbookViewId="0">
      <selection activeCell="C11" sqref="C11"/>
    </sheetView>
  </sheetViews>
  <sheetFormatPr baseColWidth="10" defaultRowHeight="15" x14ac:dyDescent="0.25"/>
  <cols>
    <col min="1" max="1" width="19.42578125" customWidth="1"/>
    <col min="2" max="2" width="17.7109375" customWidth="1"/>
    <col min="3" max="3" width="17.140625" customWidth="1"/>
  </cols>
  <sheetData>
    <row r="1" spans="1:3" x14ac:dyDescent="0.25">
      <c r="A1" s="7" t="s">
        <v>14</v>
      </c>
      <c r="B1" s="7" t="s">
        <v>13</v>
      </c>
      <c r="C1" s="7" t="s">
        <v>26</v>
      </c>
    </row>
    <row r="2" spans="1:3" x14ac:dyDescent="0.25">
      <c r="A2" s="5">
        <f>SUM(Sheet1!I:I)</f>
        <v>472464136</v>
      </c>
      <c r="B2">
        <f>SUM(Sheet1!E:E)</f>
        <v>2916</v>
      </c>
      <c r="C2" s="5">
        <f>A2/B2</f>
        <v>162024.73799725651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8CD4-AD47-4BDC-AD29-E759F234DA26}">
  <dimension ref="A2:G18"/>
  <sheetViews>
    <sheetView workbookViewId="0">
      <selection activeCell="G4" sqref="G4"/>
    </sheetView>
  </sheetViews>
  <sheetFormatPr baseColWidth="10" defaultRowHeight="15" x14ac:dyDescent="0.25"/>
  <cols>
    <col min="1" max="1" width="17.5703125" bestFit="1" customWidth="1"/>
    <col min="2" max="2" width="22.5703125" style="21" bestFit="1" customWidth="1"/>
    <col min="3" max="3" width="17.5703125" bestFit="1" customWidth="1"/>
    <col min="4" max="4" width="13" customWidth="1"/>
    <col min="5" max="6" width="17.5703125" bestFit="1" customWidth="1"/>
    <col min="7" max="7" width="22.5703125" bestFit="1" customWidth="1"/>
    <col min="8" max="8" width="17.5703125" bestFit="1" customWidth="1"/>
  </cols>
  <sheetData>
    <row r="2" spans="1:7" x14ac:dyDescent="0.25">
      <c r="A2" s="20" t="s">
        <v>45</v>
      </c>
      <c r="E2" s="20" t="s">
        <v>44</v>
      </c>
    </row>
    <row r="3" spans="1:7" x14ac:dyDescent="0.25">
      <c r="A3" s="17" t="s">
        <v>29</v>
      </c>
      <c r="B3" s="21" t="s">
        <v>27</v>
      </c>
      <c r="C3" t="s">
        <v>28</v>
      </c>
      <c r="E3" s="17" t="s">
        <v>29</v>
      </c>
      <c r="F3" t="s">
        <v>28</v>
      </c>
      <c r="G3" t="s">
        <v>27</v>
      </c>
    </row>
    <row r="4" spans="1:7" x14ac:dyDescent="0.25">
      <c r="A4" s="19" t="s">
        <v>31</v>
      </c>
      <c r="B4" s="21">
        <v>22571592</v>
      </c>
      <c r="C4" s="18">
        <v>171</v>
      </c>
      <c r="E4" s="19" t="s">
        <v>7</v>
      </c>
      <c r="F4" s="18">
        <v>281</v>
      </c>
      <c r="G4" s="21">
        <v>42640016</v>
      </c>
    </row>
    <row r="5" spans="1:7" x14ac:dyDescent="0.25">
      <c r="A5" s="19" t="s">
        <v>32</v>
      </c>
      <c r="B5" s="21">
        <v>36157061</v>
      </c>
      <c r="C5" s="18">
        <v>249</v>
      </c>
      <c r="E5" s="19" t="s">
        <v>3</v>
      </c>
      <c r="F5" s="18">
        <v>366</v>
      </c>
      <c r="G5" s="21">
        <v>50929468</v>
      </c>
    </row>
    <row r="6" spans="1:7" x14ac:dyDescent="0.25">
      <c r="A6" s="19" t="s">
        <v>33</v>
      </c>
      <c r="B6" s="21">
        <v>16468357</v>
      </c>
      <c r="C6" s="18">
        <v>102</v>
      </c>
      <c r="E6" s="19" t="s">
        <v>1</v>
      </c>
      <c r="F6" s="18">
        <v>294</v>
      </c>
      <c r="G6" s="21">
        <v>51567454</v>
      </c>
    </row>
    <row r="7" spans="1:7" x14ac:dyDescent="0.25">
      <c r="A7" s="19" t="s">
        <v>34</v>
      </c>
      <c r="B7" s="21">
        <v>39796599</v>
      </c>
      <c r="C7" s="18">
        <v>247</v>
      </c>
      <c r="E7" s="19" t="s">
        <v>0</v>
      </c>
      <c r="F7" s="18">
        <v>340</v>
      </c>
      <c r="G7" s="21">
        <v>56934688</v>
      </c>
    </row>
    <row r="8" spans="1:7" x14ac:dyDescent="0.25">
      <c r="A8" s="19" t="s">
        <v>35</v>
      </c>
      <c r="B8" s="21">
        <v>50979351</v>
      </c>
      <c r="C8" s="18">
        <v>332</v>
      </c>
      <c r="E8" s="19" t="s">
        <v>4</v>
      </c>
      <c r="F8" s="18">
        <v>370</v>
      </c>
      <c r="G8" s="21">
        <v>65153601</v>
      </c>
    </row>
    <row r="9" spans="1:7" x14ac:dyDescent="0.25">
      <c r="A9" s="19" t="s">
        <v>36</v>
      </c>
      <c r="B9" s="21">
        <v>50180779</v>
      </c>
      <c r="C9" s="18">
        <v>275</v>
      </c>
      <c r="E9" s="19" t="s">
        <v>30</v>
      </c>
      <c r="F9" s="18">
        <v>1651</v>
      </c>
      <c r="G9" s="21">
        <v>267225227</v>
      </c>
    </row>
    <row r="10" spans="1:7" x14ac:dyDescent="0.25">
      <c r="A10" s="19" t="s">
        <v>37</v>
      </c>
      <c r="B10" s="21">
        <v>40642889</v>
      </c>
      <c r="C10" s="18">
        <v>228</v>
      </c>
    </row>
    <row r="11" spans="1:7" x14ac:dyDescent="0.25">
      <c r="A11" s="19" t="s">
        <v>38</v>
      </c>
      <c r="B11" s="21">
        <v>50750428</v>
      </c>
      <c r="C11" s="18">
        <v>320</v>
      </c>
    </row>
    <row r="12" spans="1:7" x14ac:dyDescent="0.25">
      <c r="A12" s="19" t="s">
        <v>39</v>
      </c>
      <c r="B12" s="21">
        <v>34276091</v>
      </c>
      <c r="C12" s="18">
        <v>228</v>
      </c>
    </row>
    <row r="13" spans="1:7" x14ac:dyDescent="0.25">
      <c r="A13" s="19" t="s">
        <v>40</v>
      </c>
      <c r="B13" s="21">
        <v>41966201</v>
      </c>
      <c r="C13" s="18">
        <v>255</v>
      </c>
    </row>
    <row r="14" spans="1:7" x14ac:dyDescent="0.25">
      <c r="A14" s="19" t="s">
        <v>41</v>
      </c>
      <c r="B14" s="21">
        <v>44401307</v>
      </c>
      <c r="C14" s="18">
        <v>262</v>
      </c>
      <c r="E14" s="20" t="s">
        <v>43</v>
      </c>
    </row>
    <row r="15" spans="1:7" x14ac:dyDescent="0.25">
      <c r="A15" s="19" t="s">
        <v>42</v>
      </c>
      <c r="B15" s="21">
        <v>44273481</v>
      </c>
      <c r="C15" s="18">
        <v>247</v>
      </c>
      <c r="E15" s="17" t="s">
        <v>29</v>
      </c>
      <c r="F15" t="s">
        <v>27</v>
      </c>
      <c r="G15" t="s">
        <v>28</v>
      </c>
    </row>
    <row r="16" spans="1:7" x14ac:dyDescent="0.25">
      <c r="A16" s="19" t="s">
        <v>30</v>
      </c>
      <c r="B16" s="21">
        <v>472464136</v>
      </c>
      <c r="C16" s="18">
        <v>2916</v>
      </c>
      <c r="E16" s="19" t="s">
        <v>8</v>
      </c>
      <c r="F16" s="21">
        <v>429824120</v>
      </c>
      <c r="G16" s="18">
        <v>2635</v>
      </c>
    </row>
    <row r="17" spans="5:7" x14ac:dyDescent="0.25">
      <c r="E17" s="19" t="s">
        <v>9</v>
      </c>
      <c r="F17" s="21">
        <v>42640016</v>
      </c>
      <c r="G17" s="18">
        <v>281</v>
      </c>
    </row>
    <row r="18" spans="5:7" x14ac:dyDescent="0.25">
      <c r="E18" s="19" t="s">
        <v>30</v>
      </c>
      <c r="F18" s="21">
        <v>472464136</v>
      </c>
      <c r="G18" s="18">
        <v>2916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F068-978D-48DC-AB61-0B18C7E196C4}">
  <dimension ref="A1"/>
  <sheetViews>
    <sheetView showGridLines="0" tabSelected="1" topLeftCell="A7" workbookViewId="0">
      <selection activeCell="L22" sqref="L22"/>
    </sheetView>
  </sheetViews>
  <sheetFormatPr baseColWidth="10" defaultRowHeight="15" x14ac:dyDescent="0.25"/>
  <cols>
    <col min="7" max="7" width="8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KPIs</vt:lpstr>
      <vt:lpstr>Tabla_dinamica</vt:lpstr>
      <vt:lpstr>Gráfricos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2026-01-30T11:32:20Z</dcterms:created>
  <dcterms:modified xsi:type="dcterms:W3CDTF">2026-02-03T14:51:35Z</dcterms:modified>
</cp:coreProperties>
</file>